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Yearly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&quot;€&quot;#,##0.00"/>
  </numFmts>
  <fonts count="4">
    <font>
      <name val="Calibri"/>
      <family val="2"/>
      <color theme="1"/>
      <sz val="11"/>
      <scheme val="minor"/>
    </font>
    <font>
      <i val="1"/>
      <color rgb="0064748B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9C3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Fill in one row per item. The yellow columns are for you; Profit, Days online and Status calculate themselves.</t>
        </is>
      </c>
    </row>
    <row r="3" ht="32" customHeight="1">
      <c r="A3" s="2" t="inlineStr">
        <is>
          <t>Item</t>
        </is>
      </c>
      <c r="B3" s="2" t="inlineStr">
        <is>
          <t>Purchase date</t>
        </is>
      </c>
      <c r="C3" s="2" t="inlineStr">
        <is>
          <t>Purchase price</t>
        </is>
      </c>
      <c r="D3" s="2" t="inlineStr">
        <is>
          <t>Marketplace</t>
        </is>
      </c>
      <c r="E3" s="2" t="inlineStr">
        <is>
          <t>Date listed</t>
        </is>
      </c>
      <c r="F3" s="2" t="inlineStr">
        <is>
          <t>Sale date</t>
        </is>
      </c>
      <c r="G3" s="2" t="inlineStr">
        <is>
          <t>Sale price</t>
        </is>
      </c>
      <c r="H3" s="2" t="inlineStr">
        <is>
          <t>Shipping cost (paid by you)</t>
        </is>
      </c>
      <c r="I3" s="2" t="inlineStr">
        <is>
          <t>Platform fees</t>
        </is>
      </c>
      <c r="J3" s="2" t="inlineStr">
        <is>
          <t>Profit</t>
        </is>
      </c>
      <c r="K3" s="2" t="inlineStr">
        <is>
          <t>Days online</t>
        </is>
      </c>
      <c r="L3" s="2" t="inlineStr">
        <is>
          <t>Status</t>
        </is>
      </c>
    </row>
    <row r="4">
      <c r="A4" s="3" t="n"/>
      <c r="B4" s="4" t="n"/>
      <c r="C4" s="5" t="n"/>
      <c r="D4" s="3" t="n"/>
      <c r="E4" s="4" t="n"/>
      <c r="F4" s="4" t="n"/>
      <c r="G4" s="5" t="n"/>
      <c r="H4" s="5" t="n"/>
      <c r="I4" s="5" t="n"/>
      <c r="J4" s="6">
        <f>IF(G4="","",G4-C4-H4-I4)</f>
        <v/>
      </c>
      <c r="K4" s="7">
        <f>IF(E4="","",IF(F4="",TODAY(),F4)-E4)</f>
        <v/>
      </c>
      <c r="L4" s="8">
        <f>IF(F4&lt;&gt;"","Sold",IF(E4&lt;&gt;"","Online",IF(A4&lt;&gt;"","In stock","")))</f>
        <v/>
      </c>
    </row>
    <row r="5">
      <c r="A5" s="3" t="n"/>
      <c r="B5" s="4" t="n"/>
      <c r="C5" s="5" t="n"/>
      <c r="D5" s="3" t="n"/>
      <c r="E5" s="4" t="n"/>
      <c r="F5" s="4" t="n"/>
      <c r="G5" s="5" t="n"/>
      <c r="H5" s="5" t="n"/>
      <c r="I5" s="5" t="n"/>
      <c r="J5" s="6">
        <f>IF(G5="","",G5-C5-H5-I5)</f>
        <v/>
      </c>
      <c r="K5" s="7">
        <f>IF(E5="","",IF(F5="",TODAY(),F5)-E5)</f>
        <v/>
      </c>
      <c r="L5" s="8">
        <f>IF(F5&lt;&gt;"","Sold",IF(E5&lt;&gt;"","Online",IF(A5&lt;&gt;"","In stock","")))</f>
        <v/>
      </c>
    </row>
    <row r="6">
      <c r="A6" s="3" t="n"/>
      <c r="B6" s="4" t="n"/>
      <c r="C6" s="5" t="n"/>
      <c r="D6" s="3" t="n"/>
      <c r="E6" s="4" t="n"/>
      <c r="F6" s="4" t="n"/>
      <c r="G6" s="5" t="n"/>
      <c r="H6" s="5" t="n"/>
      <c r="I6" s="5" t="n"/>
      <c r="J6" s="6">
        <f>IF(G6="","",G6-C6-H6-I6)</f>
        <v/>
      </c>
      <c r="K6" s="7">
        <f>IF(E6="","",IF(F6="",TODAY(),F6)-E6)</f>
        <v/>
      </c>
      <c r="L6" s="8">
        <f>IF(F6&lt;&gt;"","Sold",IF(E6&lt;&gt;"","Online",IF(A6&lt;&gt;"","In stock","")))</f>
        <v/>
      </c>
    </row>
    <row r="7">
      <c r="A7" s="3" t="n"/>
      <c r="B7" s="4" t="n"/>
      <c r="C7" s="5" t="n"/>
      <c r="D7" s="3" t="n"/>
      <c r="E7" s="4" t="n"/>
      <c r="F7" s="4" t="n"/>
      <c r="G7" s="5" t="n"/>
      <c r="H7" s="5" t="n"/>
      <c r="I7" s="5" t="n"/>
      <c r="J7" s="6">
        <f>IF(G7="","",G7-C7-H7-I7)</f>
        <v/>
      </c>
      <c r="K7" s="7">
        <f>IF(E7="","",IF(F7="",TODAY(),F7)-E7)</f>
        <v/>
      </c>
      <c r="L7" s="8">
        <f>IF(F7&lt;&gt;"","Sold",IF(E7&lt;&gt;"","Online",IF(A7&lt;&gt;"","In stock","")))</f>
        <v/>
      </c>
    </row>
    <row r="8">
      <c r="A8" s="3" t="n"/>
      <c r="B8" s="4" t="n"/>
      <c r="C8" s="5" t="n"/>
      <c r="D8" s="3" t="n"/>
      <c r="E8" s="4" t="n"/>
      <c r="F8" s="4" t="n"/>
      <c r="G8" s="5" t="n"/>
      <c r="H8" s="5" t="n"/>
      <c r="I8" s="5" t="n"/>
      <c r="J8" s="6">
        <f>IF(G8="","",G8-C8-H8-I8)</f>
        <v/>
      </c>
      <c r="K8" s="7">
        <f>IF(E8="","",IF(F8="",TODAY(),F8)-E8)</f>
        <v/>
      </c>
      <c r="L8" s="8">
        <f>IF(F8&lt;&gt;"","Sold",IF(E8&lt;&gt;"","Online",IF(A8&lt;&gt;"","In stock","")))</f>
        <v/>
      </c>
    </row>
    <row r="9">
      <c r="A9" s="3" t="n"/>
      <c r="B9" s="4" t="n"/>
      <c r="C9" s="5" t="n"/>
      <c r="D9" s="3" t="n"/>
      <c r="E9" s="4" t="n"/>
      <c r="F9" s="4" t="n"/>
      <c r="G9" s="5" t="n"/>
      <c r="H9" s="5" t="n"/>
      <c r="I9" s="5" t="n"/>
      <c r="J9" s="6">
        <f>IF(G9="","",G9-C9-H9-I9)</f>
        <v/>
      </c>
      <c r="K9" s="7">
        <f>IF(E9="","",IF(F9="",TODAY(),F9)-E9)</f>
        <v/>
      </c>
      <c r="L9" s="8">
        <f>IF(F9&lt;&gt;"","Sold",IF(E9&lt;&gt;"","Online",IF(A9&lt;&gt;"","In stock","")))</f>
        <v/>
      </c>
    </row>
    <row r="10">
      <c r="A10" s="3" t="n"/>
      <c r="B10" s="4" t="n"/>
      <c r="C10" s="5" t="n"/>
      <c r="D10" s="3" t="n"/>
      <c r="E10" s="4" t="n"/>
      <c r="F10" s="4" t="n"/>
      <c r="G10" s="5" t="n"/>
      <c r="H10" s="5" t="n"/>
      <c r="I10" s="5" t="n"/>
      <c r="J10" s="6">
        <f>IF(G10="","",G10-C10-H10-I10)</f>
        <v/>
      </c>
      <c r="K10" s="7">
        <f>IF(E10="","",IF(F10="",TODAY(),F10)-E10)</f>
        <v/>
      </c>
      <c r="L10" s="8">
        <f>IF(F10&lt;&gt;"","Sold",IF(E10&lt;&gt;"","Online",IF(A10&lt;&gt;"","In stock","")))</f>
        <v/>
      </c>
    </row>
    <row r="11">
      <c r="A11" s="3" t="n"/>
      <c r="B11" s="4" t="n"/>
      <c r="C11" s="5" t="n"/>
      <c r="D11" s="3" t="n"/>
      <c r="E11" s="4" t="n"/>
      <c r="F11" s="4" t="n"/>
      <c r="G11" s="5" t="n"/>
      <c r="H11" s="5" t="n"/>
      <c r="I11" s="5" t="n"/>
      <c r="J11" s="6">
        <f>IF(G11="","",G11-C11-H11-I11)</f>
        <v/>
      </c>
      <c r="K11" s="7">
        <f>IF(E11="","",IF(F11="",TODAY(),F11)-E11)</f>
        <v/>
      </c>
      <c r="L11" s="8">
        <f>IF(F11&lt;&gt;"","Sold",IF(E11&lt;&gt;"","Online",IF(A11&lt;&gt;"","In stock","")))</f>
        <v/>
      </c>
    </row>
    <row r="12">
      <c r="A12" s="3" t="n"/>
      <c r="B12" s="4" t="n"/>
      <c r="C12" s="5" t="n"/>
      <c r="D12" s="3" t="n"/>
      <c r="E12" s="4" t="n"/>
      <c r="F12" s="4" t="n"/>
      <c r="G12" s="5" t="n"/>
      <c r="H12" s="5" t="n"/>
      <c r="I12" s="5" t="n"/>
      <c r="J12" s="6">
        <f>IF(G12="","",G12-C12-H12-I12)</f>
        <v/>
      </c>
      <c r="K12" s="7">
        <f>IF(E12="","",IF(F12="",TODAY(),F12)-E12)</f>
        <v/>
      </c>
      <c r="L12" s="8">
        <f>IF(F12&lt;&gt;"","Sold",IF(E12&lt;&gt;"","Online",IF(A12&lt;&gt;"","In stock","")))</f>
        <v/>
      </c>
    </row>
    <row r="13">
      <c r="A13" s="3" t="n"/>
      <c r="B13" s="4" t="n"/>
      <c r="C13" s="5" t="n"/>
      <c r="D13" s="3" t="n"/>
      <c r="E13" s="4" t="n"/>
      <c r="F13" s="4" t="n"/>
      <c r="G13" s="5" t="n"/>
      <c r="H13" s="5" t="n"/>
      <c r="I13" s="5" t="n"/>
      <c r="J13" s="6">
        <f>IF(G13="","",G13-C13-H13-I13)</f>
        <v/>
      </c>
      <c r="K13" s="7">
        <f>IF(E13="","",IF(F13="",TODAY(),F13)-E13)</f>
        <v/>
      </c>
      <c r="L13" s="8">
        <f>IF(F13&lt;&gt;"","Sold",IF(E13&lt;&gt;"","Online",IF(A13&lt;&gt;"","In stock","")))</f>
        <v/>
      </c>
    </row>
    <row r="14">
      <c r="A14" s="3" t="n"/>
      <c r="B14" s="4" t="n"/>
      <c r="C14" s="5" t="n"/>
      <c r="D14" s="3" t="n"/>
      <c r="E14" s="4" t="n"/>
      <c r="F14" s="4" t="n"/>
      <c r="G14" s="5" t="n"/>
      <c r="H14" s="5" t="n"/>
      <c r="I14" s="5" t="n"/>
      <c r="J14" s="6">
        <f>IF(G14="","",G14-C14-H14-I14)</f>
        <v/>
      </c>
      <c r="K14" s="7">
        <f>IF(E14="","",IF(F14="",TODAY(),F14)-E14)</f>
        <v/>
      </c>
      <c r="L14" s="8">
        <f>IF(F14&lt;&gt;"","Sold",IF(E14&lt;&gt;"","Online",IF(A14&lt;&gt;"","In stock","")))</f>
        <v/>
      </c>
    </row>
    <row r="15">
      <c r="A15" s="3" t="n"/>
      <c r="B15" s="4" t="n"/>
      <c r="C15" s="5" t="n"/>
      <c r="D15" s="3" t="n"/>
      <c r="E15" s="4" t="n"/>
      <c r="F15" s="4" t="n"/>
      <c r="G15" s="5" t="n"/>
      <c r="H15" s="5" t="n"/>
      <c r="I15" s="5" t="n"/>
      <c r="J15" s="6">
        <f>IF(G15="","",G15-C15-H15-I15)</f>
        <v/>
      </c>
      <c r="K15" s="7">
        <f>IF(E15="","",IF(F15="",TODAY(),F15)-E15)</f>
        <v/>
      </c>
      <c r="L15" s="8">
        <f>IF(F15&lt;&gt;"","Sold",IF(E15&lt;&gt;"","Online",IF(A15&lt;&gt;"","In stock","")))</f>
        <v/>
      </c>
    </row>
    <row r="16">
      <c r="A16" s="3" t="n"/>
      <c r="B16" s="4" t="n"/>
      <c r="C16" s="5" t="n"/>
      <c r="D16" s="3" t="n"/>
      <c r="E16" s="4" t="n"/>
      <c r="F16" s="4" t="n"/>
      <c r="G16" s="5" t="n"/>
      <c r="H16" s="5" t="n"/>
      <c r="I16" s="5" t="n"/>
      <c r="J16" s="6">
        <f>IF(G16="","",G16-C16-H16-I16)</f>
        <v/>
      </c>
      <c r="K16" s="7">
        <f>IF(E16="","",IF(F16="",TODAY(),F16)-E16)</f>
        <v/>
      </c>
      <c r="L16" s="8">
        <f>IF(F16&lt;&gt;"","Sold",IF(E16&lt;&gt;"","Online",IF(A16&lt;&gt;"","In stock","")))</f>
        <v/>
      </c>
    </row>
    <row r="17">
      <c r="A17" s="3" t="n"/>
      <c r="B17" s="4" t="n"/>
      <c r="C17" s="5" t="n"/>
      <c r="D17" s="3" t="n"/>
      <c r="E17" s="4" t="n"/>
      <c r="F17" s="4" t="n"/>
      <c r="G17" s="5" t="n"/>
      <c r="H17" s="5" t="n"/>
      <c r="I17" s="5" t="n"/>
      <c r="J17" s="6">
        <f>IF(G17="","",G17-C17-H17-I17)</f>
        <v/>
      </c>
      <c r="K17" s="7">
        <f>IF(E17="","",IF(F17="",TODAY(),F17)-E17)</f>
        <v/>
      </c>
      <c r="L17" s="8">
        <f>IF(F17&lt;&gt;"","Sold",IF(E17&lt;&gt;"","Online",IF(A17&lt;&gt;"","In stock","")))</f>
        <v/>
      </c>
    </row>
    <row r="18">
      <c r="A18" s="3" t="n"/>
      <c r="B18" s="4" t="n"/>
      <c r="C18" s="5" t="n"/>
      <c r="D18" s="3" t="n"/>
      <c r="E18" s="4" t="n"/>
      <c r="F18" s="4" t="n"/>
      <c r="G18" s="5" t="n"/>
      <c r="H18" s="5" t="n"/>
      <c r="I18" s="5" t="n"/>
      <c r="J18" s="6">
        <f>IF(G18="","",G18-C18-H18-I18)</f>
        <v/>
      </c>
      <c r="K18" s="7">
        <f>IF(E18="","",IF(F18="",TODAY(),F18)-E18)</f>
        <v/>
      </c>
      <c r="L18" s="8">
        <f>IF(F18&lt;&gt;"","Sold",IF(E18&lt;&gt;"","Online",IF(A18&lt;&gt;"","In stock","")))</f>
        <v/>
      </c>
    </row>
    <row r="19">
      <c r="A19" s="3" t="n"/>
      <c r="B19" s="4" t="n"/>
      <c r="C19" s="5" t="n"/>
      <c r="D19" s="3" t="n"/>
      <c r="E19" s="4" t="n"/>
      <c r="F19" s="4" t="n"/>
      <c r="G19" s="5" t="n"/>
      <c r="H19" s="5" t="n"/>
      <c r="I19" s="5" t="n"/>
      <c r="J19" s="6">
        <f>IF(G19="","",G19-C19-H19-I19)</f>
        <v/>
      </c>
      <c r="K19" s="7">
        <f>IF(E19="","",IF(F19="",TODAY(),F19)-E19)</f>
        <v/>
      </c>
      <c r="L19" s="8">
        <f>IF(F19&lt;&gt;"","Sold",IF(E19&lt;&gt;"","Online",IF(A19&lt;&gt;"","In stock","")))</f>
        <v/>
      </c>
    </row>
    <row r="20">
      <c r="A20" s="3" t="n"/>
      <c r="B20" s="4" t="n"/>
      <c r="C20" s="5" t="n"/>
      <c r="D20" s="3" t="n"/>
      <c r="E20" s="4" t="n"/>
      <c r="F20" s="4" t="n"/>
      <c r="G20" s="5" t="n"/>
      <c r="H20" s="5" t="n"/>
      <c r="I20" s="5" t="n"/>
      <c r="J20" s="6">
        <f>IF(G20="","",G20-C20-H20-I20)</f>
        <v/>
      </c>
      <c r="K20" s="7">
        <f>IF(E20="","",IF(F20="",TODAY(),F20)-E20)</f>
        <v/>
      </c>
      <c r="L20" s="8">
        <f>IF(F20&lt;&gt;"","Sold",IF(E20&lt;&gt;"","Online",IF(A20&lt;&gt;"","In stock","")))</f>
        <v/>
      </c>
    </row>
    <row r="21">
      <c r="A21" s="3" t="n"/>
      <c r="B21" s="4" t="n"/>
      <c r="C21" s="5" t="n"/>
      <c r="D21" s="3" t="n"/>
      <c r="E21" s="4" t="n"/>
      <c r="F21" s="4" t="n"/>
      <c r="G21" s="5" t="n"/>
      <c r="H21" s="5" t="n"/>
      <c r="I21" s="5" t="n"/>
      <c r="J21" s="6">
        <f>IF(G21="","",G21-C21-H21-I21)</f>
        <v/>
      </c>
      <c r="K21" s="7">
        <f>IF(E21="","",IF(F21="",TODAY(),F21)-E21)</f>
        <v/>
      </c>
      <c r="L21" s="8">
        <f>IF(F21&lt;&gt;"","Sold",IF(E21&lt;&gt;"","Online",IF(A21&lt;&gt;"","In stock","")))</f>
        <v/>
      </c>
    </row>
    <row r="22">
      <c r="A22" s="3" t="n"/>
      <c r="B22" s="4" t="n"/>
      <c r="C22" s="5" t="n"/>
      <c r="D22" s="3" t="n"/>
      <c r="E22" s="4" t="n"/>
      <c r="F22" s="4" t="n"/>
      <c r="G22" s="5" t="n"/>
      <c r="H22" s="5" t="n"/>
      <c r="I22" s="5" t="n"/>
      <c r="J22" s="6">
        <f>IF(G22="","",G22-C22-H22-I22)</f>
        <v/>
      </c>
      <c r="K22" s="7">
        <f>IF(E22="","",IF(F22="",TODAY(),F22)-E22)</f>
        <v/>
      </c>
      <c r="L22" s="8">
        <f>IF(F22&lt;&gt;"","Sold",IF(E22&lt;&gt;"","Online",IF(A22&lt;&gt;"","In stock","")))</f>
        <v/>
      </c>
    </row>
    <row r="23">
      <c r="A23" s="3" t="n"/>
      <c r="B23" s="4" t="n"/>
      <c r="C23" s="5" t="n"/>
      <c r="D23" s="3" t="n"/>
      <c r="E23" s="4" t="n"/>
      <c r="F23" s="4" t="n"/>
      <c r="G23" s="5" t="n"/>
      <c r="H23" s="5" t="n"/>
      <c r="I23" s="5" t="n"/>
      <c r="J23" s="6">
        <f>IF(G23="","",G23-C23-H23-I23)</f>
        <v/>
      </c>
      <c r="K23" s="7">
        <f>IF(E23="","",IF(F23="",TODAY(),F23)-E23)</f>
        <v/>
      </c>
      <c r="L23" s="8">
        <f>IF(F23&lt;&gt;"","Sold",IF(E23&lt;&gt;"","Online",IF(A23&lt;&gt;"","In stock","")))</f>
        <v/>
      </c>
    </row>
    <row r="24">
      <c r="A24" s="3" t="n"/>
      <c r="B24" s="4" t="n"/>
      <c r="C24" s="5" t="n"/>
      <c r="D24" s="3" t="n"/>
      <c r="E24" s="4" t="n"/>
      <c r="F24" s="4" t="n"/>
      <c r="G24" s="5" t="n"/>
      <c r="H24" s="5" t="n"/>
      <c r="I24" s="5" t="n"/>
      <c r="J24" s="6">
        <f>IF(G24="","",G24-C24-H24-I24)</f>
        <v/>
      </c>
      <c r="K24" s="7">
        <f>IF(E24="","",IF(F24="",TODAY(),F24)-E24)</f>
        <v/>
      </c>
      <c r="L24" s="8">
        <f>IF(F24&lt;&gt;"","Sold",IF(E24&lt;&gt;"","Online",IF(A24&lt;&gt;"","In stock","")))</f>
        <v/>
      </c>
    </row>
    <row r="25">
      <c r="A25" s="3" t="n"/>
      <c r="B25" s="4" t="n"/>
      <c r="C25" s="5" t="n"/>
      <c r="D25" s="3" t="n"/>
      <c r="E25" s="4" t="n"/>
      <c r="F25" s="4" t="n"/>
      <c r="G25" s="5" t="n"/>
      <c r="H25" s="5" t="n"/>
      <c r="I25" s="5" t="n"/>
      <c r="J25" s="6">
        <f>IF(G25="","",G25-C25-H25-I25)</f>
        <v/>
      </c>
      <c r="K25" s="7">
        <f>IF(E25="","",IF(F25="",TODAY(),F25)-E25)</f>
        <v/>
      </c>
      <c r="L25" s="8">
        <f>IF(F25&lt;&gt;"","Sold",IF(E25&lt;&gt;"","Online",IF(A25&lt;&gt;"","In stock","")))</f>
        <v/>
      </c>
    </row>
    <row r="26">
      <c r="A26" s="3" t="n"/>
      <c r="B26" s="4" t="n"/>
      <c r="C26" s="5" t="n"/>
      <c r="D26" s="3" t="n"/>
      <c r="E26" s="4" t="n"/>
      <c r="F26" s="4" t="n"/>
      <c r="G26" s="5" t="n"/>
      <c r="H26" s="5" t="n"/>
      <c r="I26" s="5" t="n"/>
      <c r="J26" s="6">
        <f>IF(G26="","",G26-C26-H26-I26)</f>
        <v/>
      </c>
      <c r="K26" s="7">
        <f>IF(E26="","",IF(F26="",TODAY(),F26)-E26)</f>
        <v/>
      </c>
      <c r="L26" s="8">
        <f>IF(F26&lt;&gt;"","Sold",IF(E26&lt;&gt;"","Online",IF(A26&lt;&gt;"","In stock","")))</f>
        <v/>
      </c>
    </row>
    <row r="27">
      <c r="A27" s="3" t="n"/>
      <c r="B27" s="4" t="n"/>
      <c r="C27" s="5" t="n"/>
      <c r="D27" s="3" t="n"/>
      <c r="E27" s="4" t="n"/>
      <c r="F27" s="4" t="n"/>
      <c r="G27" s="5" t="n"/>
      <c r="H27" s="5" t="n"/>
      <c r="I27" s="5" t="n"/>
      <c r="J27" s="6">
        <f>IF(G27="","",G27-C27-H27-I27)</f>
        <v/>
      </c>
      <c r="K27" s="7">
        <f>IF(E27="","",IF(F27="",TODAY(),F27)-E27)</f>
        <v/>
      </c>
      <c r="L27" s="8">
        <f>IF(F27&lt;&gt;"","Sold",IF(E27&lt;&gt;"","Online",IF(A27&lt;&gt;"","In stock","")))</f>
        <v/>
      </c>
    </row>
    <row r="28">
      <c r="A28" s="3" t="n"/>
      <c r="B28" s="4" t="n"/>
      <c r="C28" s="5" t="n"/>
      <c r="D28" s="3" t="n"/>
      <c r="E28" s="4" t="n"/>
      <c r="F28" s="4" t="n"/>
      <c r="G28" s="5" t="n"/>
      <c r="H28" s="5" t="n"/>
      <c r="I28" s="5" t="n"/>
      <c r="J28" s="6">
        <f>IF(G28="","",G28-C28-H28-I28)</f>
        <v/>
      </c>
      <c r="K28" s="7">
        <f>IF(E28="","",IF(F28="",TODAY(),F28)-E28)</f>
        <v/>
      </c>
      <c r="L28" s="8">
        <f>IF(F28&lt;&gt;"","Sold",IF(E28&lt;&gt;"","Online",IF(A28&lt;&gt;"","In stock","")))</f>
        <v/>
      </c>
    </row>
    <row r="29">
      <c r="A29" s="3" t="n"/>
      <c r="B29" s="4" t="n"/>
      <c r="C29" s="5" t="n"/>
      <c r="D29" s="3" t="n"/>
      <c r="E29" s="4" t="n"/>
      <c r="F29" s="4" t="n"/>
      <c r="G29" s="5" t="n"/>
      <c r="H29" s="5" t="n"/>
      <c r="I29" s="5" t="n"/>
      <c r="J29" s="6">
        <f>IF(G29="","",G29-C29-H29-I29)</f>
        <v/>
      </c>
      <c r="K29" s="7">
        <f>IF(E29="","",IF(F29="",TODAY(),F29)-E29)</f>
        <v/>
      </c>
      <c r="L29" s="8">
        <f>IF(F29&lt;&gt;"","Sold",IF(E29&lt;&gt;"","Online",IF(A29&lt;&gt;"","In stock","")))</f>
        <v/>
      </c>
    </row>
    <row r="30">
      <c r="A30" s="3" t="n"/>
      <c r="B30" s="4" t="n"/>
      <c r="C30" s="5" t="n"/>
      <c r="D30" s="3" t="n"/>
      <c r="E30" s="4" t="n"/>
      <c r="F30" s="4" t="n"/>
      <c r="G30" s="5" t="n"/>
      <c r="H30" s="5" t="n"/>
      <c r="I30" s="5" t="n"/>
      <c r="J30" s="6">
        <f>IF(G30="","",G30-C30-H30-I30)</f>
        <v/>
      </c>
      <c r="K30" s="7">
        <f>IF(E30="","",IF(F30="",TODAY(),F30)-E30)</f>
        <v/>
      </c>
      <c r="L30" s="8">
        <f>IF(F30&lt;&gt;"","Sold",IF(E30&lt;&gt;"","Online",IF(A30&lt;&gt;"","In stock","")))</f>
        <v/>
      </c>
    </row>
    <row r="31">
      <c r="A31" s="3" t="n"/>
      <c r="B31" s="4" t="n"/>
      <c r="C31" s="5" t="n"/>
      <c r="D31" s="3" t="n"/>
      <c r="E31" s="4" t="n"/>
      <c r="F31" s="4" t="n"/>
      <c r="G31" s="5" t="n"/>
      <c r="H31" s="5" t="n"/>
      <c r="I31" s="5" t="n"/>
      <c r="J31" s="6">
        <f>IF(G31="","",G31-C31-H31-I31)</f>
        <v/>
      </c>
      <c r="K31" s="7">
        <f>IF(E31="","",IF(F31="",TODAY(),F31)-E31)</f>
        <v/>
      </c>
      <c r="L31" s="8">
        <f>IF(F31&lt;&gt;"","Sold",IF(E31&lt;&gt;"","Online",IF(A31&lt;&gt;"","In stock","")))</f>
        <v/>
      </c>
    </row>
    <row r="32">
      <c r="A32" s="3" t="n"/>
      <c r="B32" s="4" t="n"/>
      <c r="C32" s="5" t="n"/>
      <c r="D32" s="3" t="n"/>
      <c r="E32" s="4" t="n"/>
      <c r="F32" s="4" t="n"/>
      <c r="G32" s="5" t="n"/>
      <c r="H32" s="5" t="n"/>
      <c r="I32" s="5" t="n"/>
      <c r="J32" s="6">
        <f>IF(G32="","",G32-C32-H32-I32)</f>
        <v/>
      </c>
      <c r="K32" s="7">
        <f>IF(E32="","",IF(F32="",TODAY(),F32)-E32)</f>
        <v/>
      </c>
      <c r="L32" s="8">
        <f>IF(F32&lt;&gt;"","Sold",IF(E32&lt;&gt;"","Online",IF(A32&lt;&gt;"","In stock","")))</f>
        <v/>
      </c>
    </row>
    <row r="33">
      <c r="A33" s="3" t="n"/>
      <c r="B33" s="4" t="n"/>
      <c r="C33" s="5" t="n"/>
      <c r="D33" s="3" t="n"/>
      <c r="E33" s="4" t="n"/>
      <c r="F33" s="4" t="n"/>
      <c r="G33" s="5" t="n"/>
      <c r="H33" s="5" t="n"/>
      <c r="I33" s="5" t="n"/>
      <c r="J33" s="6">
        <f>IF(G33="","",G33-C33-H33-I33)</f>
        <v/>
      </c>
      <c r="K33" s="7">
        <f>IF(E33="","",IF(F33="",TODAY(),F33)-E33)</f>
        <v/>
      </c>
      <c r="L33" s="8">
        <f>IF(F33&lt;&gt;"","Sold",IF(E33&lt;&gt;"","Online",IF(A33&lt;&gt;"","In stock","")))</f>
        <v/>
      </c>
    </row>
    <row r="34">
      <c r="A34" s="3" t="n"/>
      <c r="B34" s="4" t="n"/>
      <c r="C34" s="5" t="n"/>
      <c r="D34" s="3" t="n"/>
      <c r="E34" s="4" t="n"/>
      <c r="F34" s="4" t="n"/>
      <c r="G34" s="5" t="n"/>
      <c r="H34" s="5" t="n"/>
      <c r="I34" s="5" t="n"/>
      <c r="J34" s="6">
        <f>IF(G34="","",G34-C34-H34-I34)</f>
        <v/>
      </c>
      <c r="K34" s="7">
        <f>IF(E34="","",IF(F34="",TODAY(),F34)-E34)</f>
        <v/>
      </c>
      <c r="L34" s="8">
        <f>IF(F34&lt;&gt;"","Sold",IF(E34&lt;&gt;"","Online",IF(A34&lt;&gt;"","In stock","")))</f>
        <v/>
      </c>
    </row>
    <row r="35">
      <c r="A35" s="3" t="n"/>
      <c r="B35" s="4" t="n"/>
      <c r="C35" s="5" t="n"/>
      <c r="D35" s="3" t="n"/>
      <c r="E35" s="4" t="n"/>
      <c r="F35" s="4" t="n"/>
      <c r="G35" s="5" t="n"/>
      <c r="H35" s="5" t="n"/>
      <c r="I35" s="5" t="n"/>
      <c r="J35" s="6">
        <f>IF(G35="","",G35-C35-H35-I35)</f>
        <v/>
      </c>
      <c r="K35" s="7">
        <f>IF(E35="","",IF(F35="",TODAY(),F35)-E35)</f>
        <v/>
      </c>
      <c r="L35" s="8">
        <f>IF(F35&lt;&gt;"","Sold",IF(E35&lt;&gt;"","Online",IF(A35&lt;&gt;"","In stock","")))</f>
        <v/>
      </c>
    </row>
    <row r="36">
      <c r="A36" s="3" t="n"/>
      <c r="B36" s="4" t="n"/>
      <c r="C36" s="5" t="n"/>
      <c r="D36" s="3" t="n"/>
      <c r="E36" s="4" t="n"/>
      <c r="F36" s="4" t="n"/>
      <c r="G36" s="5" t="n"/>
      <c r="H36" s="5" t="n"/>
      <c r="I36" s="5" t="n"/>
      <c r="J36" s="6">
        <f>IF(G36="","",G36-C36-H36-I36)</f>
        <v/>
      </c>
      <c r="K36" s="7">
        <f>IF(E36="","",IF(F36="",TODAY(),F36)-E36)</f>
        <v/>
      </c>
      <c r="L36" s="8">
        <f>IF(F36&lt;&gt;"","Sold",IF(E36&lt;&gt;"","Online",IF(A36&lt;&gt;"","In stock","")))</f>
        <v/>
      </c>
    </row>
    <row r="37">
      <c r="A37" s="3" t="n"/>
      <c r="B37" s="4" t="n"/>
      <c r="C37" s="5" t="n"/>
      <c r="D37" s="3" t="n"/>
      <c r="E37" s="4" t="n"/>
      <c r="F37" s="4" t="n"/>
      <c r="G37" s="5" t="n"/>
      <c r="H37" s="5" t="n"/>
      <c r="I37" s="5" t="n"/>
      <c r="J37" s="6">
        <f>IF(G37="","",G37-C37-H37-I37)</f>
        <v/>
      </c>
      <c r="K37" s="7">
        <f>IF(E37="","",IF(F37="",TODAY(),F37)-E37)</f>
        <v/>
      </c>
      <c r="L37" s="8">
        <f>IF(F37&lt;&gt;"","Sold",IF(E37&lt;&gt;"","Online",IF(A37&lt;&gt;"","In stock","")))</f>
        <v/>
      </c>
    </row>
    <row r="38">
      <c r="A38" s="3" t="n"/>
      <c r="B38" s="4" t="n"/>
      <c r="C38" s="5" t="n"/>
      <c r="D38" s="3" t="n"/>
      <c r="E38" s="4" t="n"/>
      <c r="F38" s="4" t="n"/>
      <c r="G38" s="5" t="n"/>
      <c r="H38" s="5" t="n"/>
      <c r="I38" s="5" t="n"/>
      <c r="J38" s="6">
        <f>IF(G38="","",G38-C38-H38-I38)</f>
        <v/>
      </c>
      <c r="K38" s="7">
        <f>IF(E38="","",IF(F38="",TODAY(),F38)-E38)</f>
        <v/>
      </c>
      <c r="L38" s="8">
        <f>IF(F38&lt;&gt;"","Sold",IF(E38&lt;&gt;"","Online",IF(A38&lt;&gt;"","In stock","")))</f>
        <v/>
      </c>
    </row>
    <row r="39">
      <c r="A39" s="3" t="n"/>
      <c r="B39" s="4" t="n"/>
      <c r="C39" s="5" t="n"/>
      <c r="D39" s="3" t="n"/>
      <c r="E39" s="4" t="n"/>
      <c r="F39" s="4" t="n"/>
      <c r="G39" s="5" t="n"/>
      <c r="H39" s="5" t="n"/>
      <c r="I39" s="5" t="n"/>
      <c r="J39" s="6">
        <f>IF(G39="","",G39-C39-H39-I39)</f>
        <v/>
      </c>
      <c r="K39" s="7">
        <f>IF(E39="","",IF(F39="",TODAY(),F39)-E39)</f>
        <v/>
      </c>
      <c r="L39" s="8">
        <f>IF(F39&lt;&gt;"","Sold",IF(E39&lt;&gt;"","Online",IF(A39&lt;&gt;"","In stock","")))</f>
        <v/>
      </c>
    </row>
    <row r="40">
      <c r="A40" s="3" t="n"/>
      <c r="B40" s="4" t="n"/>
      <c r="C40" s="5" t="n"/>
      <c r="D40" s="3" t="n"/>
      <c r="E40" s="4" t="n"/>
      <c r="F40" s="4" t="n"/>
      <c r="G40" s="5" t="n"/>
      <c r="H40" s="5" t="n"/>
      <c r="I40" s="5" t="n"/>
      <c r="J40" s="6">
        <f>IF(G40="","",G40-C40-H40-I40)</f>
        <v/>
      </c>
      <c r="K40" s="7">
        <f>IF(E40="","",IF(F40="",TODAY(),F40)-E40)</f>
        <v/>
      </c>
      <c r="L40" s="8">
        <f>IF(F40&lt;&gt;"","Sold",IF(E40&lt;&gt;"","Online",IF(A40&lt;&gt;"","In stock","")))</f>
        <v/>
      </c>
    </row>
    <row r="41">
      <c r="A41" s="3" t="n"/>
      <c r="B41" s="4" t="n"/>
      <c r="C41" s="5" t="n"/>
      <c r="D41" s="3" t="n"/>
      <c r="E41" s="4" t="n"/>
      <c r="F41" s="4" t="n"/>
      <c r="G41" s="5" t="n"/>
      <c r="H41" s="5" t="n"/>
      <c r="I41" s="5" t="n"/>
      <c r="J41" s="6">
        <f>IF(G41="","",G41-C41-H41-I41)</f>
        <v/>
      </c>
      <c r="K41" s="7">
        <f>IF(E41="","",IF(F41="",TODAY(),F41)-E41)</f>
        <v/>
      </c>
      <c r="L41" s="8">
        <f>IF(F41&lt;&gt;"","Sold",IF(E41&lt;&gt;"","Online",IF(A41&lt;&gt;"","In stock","")))</f>
        <v/>
      </c>
    </row>
    <row r="42">
      <c r="A42" s="3" t="n"/>
      <c r="B42" s="4" t="n"/>
      <c r="C42" s="5" t="n"/>
      <c r="D42" s="3" t="n"/>
      <c r="E42" s="4" t="n"/>
      <c r="F42" s="4" t="n"/>
      <c r="G42" s="5" t="n"/>
      <c r="H42" s="5" t="n"/>
      <c r="I42" s="5" t="n"/>
      <c r="J42" s="6">
        <f>IF(G42="","",G42-C42-H42-I42)</f>
        <v/>
      </c>
      <c r="K42" s="7">
        <f>IF(E42="","",IF(F42="",TODAY(),F42)-E42)</f>
        <v/>
      </c>
      <c r="L42" s="8">
        <f>IF(F42&lt;&gt;"","Sold",IF(E42&lt;&gt;"","Online",IF(A42&lt;&gt;"","In stock","")))</f>
        <v/>
      </c>
    </row>
    <row r="43">
      <c r="A43" s="3" t="n"/>
      <c r="B43" s="4" t="n"/>
      <c r="C43" s="5" t="n"/>
      <c r="D43" s="3" t="n"/>
      <c r="E43" s="4" t="n"/>
      <c r="F43" s="4" t="n"/>
      <c r="G43" s="5" t="n"/>
      <c r="H43" s="5" t="n"/>
      <c r="I43" s="5" t="n"/>
      <c r="J43" s="6">
        <f>IF(G43="","",G43-C43-H43-I43)</f>
        <v/>
      </c>
      <c r="K43" s="7">
        <f>IF(E43="","",IF(F43="",TODAY(),F43)-E43)</f>
        <v/>
      </c>
      <c r="L43" s="8">
        <f>IF(F43&lt;&gt;"","Sold",IF(E43&lt;&gt;"","Online",IF(A43&lt;&gt;"","In stock","")))</f>
        <v/>
      </c>
    </row>
    <row r="44">
      <c r="A44" s="3" t="n"/>
      <c r="B44" s="4" t="n"/>
      <c r="C44" s="5" t="n"/>
      <c r="D44" s="3" t="n"/>
      <c r="E44" s="4" t="n"/>
      <c r="F44" s="4" t="n"/>
      <c r="G44" s="5" t="n"/>
      <c r="H44" s="5" t="n"/>
      <c r="I44" s="5" t="n"/>
      <c r="J44" s="6">
        <f>IF(G44="","",G44-C44-H44-I44)</f>
        <v/>
      </c>
      <c r="K44" s="7">
        <f>IF(E44="","",IF(F44="",TODAY(),F44)-E44)</f>
        <v/>
      </c>
      <c r="L44" s="8">
        <f>IF(F44&lt;&gt;"","Sold",IF(E44&lt;&gt;"","Online",IF(A44&lt;&gt;"","In stock","")))</f>
        <v/>
      </c>
    </row>
    <row r="45">
      <c r="A45" s="3" t="n"/>
      <c r="B45" s="4" t="n"/>
      <c r="C45" s="5" t="n"/>
      <c r="D45" s="3" t="n"/>
      <c r="E45" s="4" t="n"/>
      <c r="F45" s="4" t="n"/>
      <c r="G45" s="5" t="n"/>
      <c r="H45" s="5" t="n"/>
      <c r="I45" s="5" t="n"/>
      <c r="J45" s="6">
        <f>IF(G45="","",G45-C45-H45-I45)</f>
        <v/>
      </c>
      <c r="K45" s="7">
        <f>IF(E45="","",IF(F45="",TODAY(),F45)-E45)</f>
        <v/>
      </c>
      <c r="L45" s="8">
        <f>IF(F45&lt;&gt;"","Sold",IF(E45&lt;&gt;"","Online",IF(A45&lt;&gt;"","In stock","")))</f>
        <v/>
      </c>
    </row>
    <row r="46">
      <c r="A46" s="3" t="n"/>
      <c r="B46" s="4" t="n"/>
      <c r="C46" s="5" t="n"/>
      <c r="D46" s="3" t="n"/>
      <c r="E46" s="4" t="n"/>
      <c r="F46" s="4" t="n"/>
      <c r="G46" s="5" t="n"/>
      <c r="H46" s="5" t="n"/>
      <c r="I46" s="5" t="n"/>
      <c r="J46" s="6">
        <f>IF(G46="","",G46-C46-H46-I46)</f>
        <v/>
      </c>
      <c r="K46" s="7">
        <f>IF(E46="","",IF(F46="",TODAY(),F46)-E46)</f>
        <v/>
      </c>
      <c r="L46" s="8">
        <f>IF(F46&lt;&gt;"","Sold",IF(E46&lt;&gt;"","Online",IF(A46&lt;&gt;"","In stock","")))</f>
        <v/>
      </c>
    </row>
    <row r="47">
      <c r="A47" s="3" t="n"/>
      <c r="B47" s="4" t="n"/>
      <c r="C47" s="5" t="n"/>
      <c r="D47" s="3" t="n"/>
      <c r="E47" s="4" t="n"/>
      <c r="F47" s="4" t="n"/>
      <c r="G47" s="5" t="n"/>
      <c r="H47" s="5" t="n"/>
      <c r="I47" s="5" t="n"/>
      <c r="J47" s="6">
        <f>IF(G47="","",G47-C47-H47-I47)</f>
        <v/>
      </c>
      <c r="K47" s="7">
        <f>IF(E47="","",IF(F47="",TODAY(),F47)-E47)</f>
        <v/>
      </c>
      <c r="L47" s="8">
        <f>IF(F47&lt;&gt;"","Sold",IF(E47&lt;&gt;"","Online",IF(A47&lt;&gt;"","In stock","")))</f>
        <v/>
      </c>
    </row>
    <row r="48">
      <c r="A48" s="3" t="n"/>
      <c r="B48" s="4" t="n"/>
      <c r="C48" s="5" t="n"/>
      <c r="D48" s="3" t="n"/>
      <c r="E48" s="4" t="n"/>
      <c r="F48" s="4" t="n"/>
      <c r="G48" s="5" t="n"/>
      <c r="H48" s="5" t="n"/>
      <c r="I48" s="5" t="n"/>
      <c r="J48" s="6">
        <f>IF(G48="","",G48-C48-H48-I48)</f>
        <v/>
      </c>
      <c r="K48" s="7">
        <f>IF(E48="","",IF(F48="",TODAY(),F48)-E48)</f>
        <v/>
      </c>
      <c r="L48" s="8">
        <f>IF(F48&lt;&gt;"","Sold",IF(E48&lt;&gt;"","Online",IF(A48&lt;&gt;"","In stock","")))</f>
        <v/>
      </c>
    </row>
    <row r="49">
      <c r="A49" s="3" t="n"/>
      <c r="B49" s="4" t="n"/>
      <c r="C49" s="5" t="n"/>
      <c r="D49" s="3" t="n"/>
      <c r="E49" s="4" t="n"/>
      <c r="F49" s="4" t="n"/>
      <c r="G49" s="5" t="n"/>
      <c r="H49" s="5" t="n"/>
      <c r="I49" s="5" t="n"/>
      <c r="J49" s="6">
        <f>IF(G49="","",G49-C49-H49-I49)</f>
        <v/>
      </c>
      <c r="K49" s="7">
        <f>IF(E49="","",IF(F49="",TODAY(),F49)-E49)</f>
        <v/>
      </c>
      <c r="L49" s="8">
        <f>IF(F49&lt;&gt;"","Sold",IF(E49&lt;&gt;"","Online",IF(A49&lt;&gt;"","In stock","")))</f>
        <v/>
      </c>
    </row>
    <row r="50">
      <c r="A50" s="3" t="n"/>
      <c r="B50" s="4" t="n"/>
      <c r="C50" s="5" t="n"/>
      <c r="D50" s="3" t="n"/>
      <c r="E50" s="4" t="n"/>
      <c r="F50" s="4" t="n"/>
      <c r="G50" s="5" t="n"/>
      <c r="H50" s="5" t="n"/>
      <c r="I50" s="5" t="n"/>
      <c r="J50" s="6">
        <f>IF(G50="","",G50-C50-H50-I50)</f>
        <v/>
      </c>
      <c r="K50" s="7">
        <f>IF(E50="","",IF(F50="",TODAY(),F50)-E50)</f>
        <v/>
      </c>
      <c r="L50" s="8">
        <f>IF(F50&lt;&gt;"","Sold",IF(E50&lt;&gt;"","Online",IF(A50&lt;&gt;"","In stock","")))</f>
        <v/>
      </c>
    </row>
    <row r="51">
      <c r="A51" s="3" t="n"/>
      <c r="B51" s="4" t="n"/>
      <c r="C51" s="5" t="n"/>
      <c r="D51" s="3" t="n"/>
      <c r="E51" s="4" t="n"/>
      <c r="F51" s="4" t="n"/>
      <c r="G51" s="5" t="n"/>
      <c r="H51" s="5" t="n"/>
      <c r="I51" s="5" t="n"/>
      <c r="J51" s="6">
        <f>IF(G51="","",G51-C51-H51-I51)</f>
        <v/>
      </c>
      <c r="K51" s="7">
        <f>IF(E51="","",IF(F51="",TODAY(),F51)-E51)</f>
        <v/>
      </c>
      <c r="L51" s="8">
        <f>IF(F51&lt;&gt;"","Sold",IF(E51&lt;&gt;"","Online",IF(A51&lt;&gt;"","In stock","")))</f>
        <v/>
      </c>
    </row>
    <row r="52">
      <c r="A52" s="3" t="n"/>
      <c r="B52" s="4" t="n"/>
      <c r="C52" s="5" t="n"/>
      <c r="D52" s="3" t="n"/>
      <c r="E52" s="4" t="n"/>
      <c r="F52" s="4" t="n"/>
      <c r="G52" s="5" t="n"/>
      <c r="H52" s="5" t="n"/>
      <c r="I52" s="5" t="n"/>
      <c r="J52" s="6">
        <f>IF(G52="","",G52-C52-H52-I52)</f>
        <v/>
      </c>
      <c r="K52" s="7">
        <f>IF(E52="","",IF(F52="",TODAY(),F52)-E52)</f>
        <v/>
      </c>
      <c r="L52" s="8">
        <f>IF(F52&lt;&gt;"","Sold",IF(E52&lt;&gt;"","Online",IF(A52&lt;&gt;"","In stock","")))</f>
        <v/>
      </c>
    </row>
    <row r="53">
      <c r="A53" s="3" t="n"/>
      <c r="B53" s="4" t="n"/>
      <c r="C53" s="5" t="n"/>
      <c r="D53" s="3" t="n"/>
      <c r="E53" s="4" t="n"/>
      <c r="F53" s="4" t="n"/>
      <c r="G53" s="5" t="n"/>
      <c r="H53" s="5" t="n"/>
      <c r="I53" s="5" t="n"/>
      <c r="J53" s="6">
        <f>IF(G53="","",G53-C53-H53-I53)</f>
        <v/>
      </c>
      <c r="K53" s="7">
        <f>IF(E53="","",IF(F53="",TODAY(),F53)-E53)</f>
        <v/>
      </c>
      <c r="L53" s="8">
        <f>IF(F53&lt;&gt;"","Sold",IF(E53&lt;&gt;"","Online",IF(A53&lt;&gt;"","In stock","")))</f>
        <v/>
      </c>
    </row>
    <row r="54">
      <c r="A54" s="3" t="n"/>
      <c r="B54" s="4" t="n"/>
      <c r="C54" s="5" t="n"/>
      <c r="D54" s="3" t="n"/>
      <c r="E54" s="4" t="n"/>
      <c r="F54" s="4" t="n"/>
      <c r="G54" s="5" t="n"/>
      <c r="H54" s="5" t="n"/>
      <c r="I54" s="5" t="n"/>
      <c r="J54" s="6">
        <f>IF(G54="","",G54-C54-H54-I54)</f>
        <v/>
      </c>
      <c r="K54" s="7">
        <f>IF(E54="","",IF(F54="",TODAY(),F54)-E54)</f>
        <v/>
      </c>
      <c r="L54" s="8">
        <f>IF(F54&lt;&gt;"","Sold",IF(E54&lt;&gt;"","Online",IF(A54&lt;&gt;"","In stock","")))</f>
        <v/>
      </c>
    </row>
    <row r="55">
      <c r="A55" s="3" t="n"/>
      <c r="B55" s="4" t="n"/>
      <c r="C55" s="5" t="n"/>
      <c r="D55" s="3" t="n"/>
      <c r="E55" s="4" t="n"/>
      <c r="F55" s="4" t="n"/>
      <c r="G55" s="5" t="n"/>
      <c r="H55" s="5" t="n"/>
      <c r="I55" s="5" t="n"/>
      <c r="J55" s="6">
        <f>IF(G55="","",G55-C55-H55-I55)</f>
        <v/>
      </c>
      <c r="K55" s="7">
        <f>IF(E55="","",IF(F55="",TODAY(),F55)-E55)</f>
        <v/>
      </c>
      <c r="L55" s="8">
        <f>IF(F55&lt;&gt;"","Sold",IF(E55&lt;&gt;"","Online",IF(A55&lt;&gt;"","In stock","")))</f>
        <v/>
      </c>
    </row>
    <row r="56">
      <c r="A56" s="3" t="n"/>
      <c r="B56" s="4" t="n"/>
      <c r="C56" s="5" t="n"/>
      <c r="D56" s="3" t="n"/>
      <c r="E56" s="4" t="n"/>
      <c r="F56" s="4" t="n"/>
      <c r="G56" s="5" t="n"/>
      <c r="H56" s="5" t="n"/>
      <c r="I56" s="5" t="n"/>
      <c r="J56" s="6">
        <f>IF(G56="","",G56-C56-H56-I56)</f>
        <v/>
      </c>
      <c r="K56" s="7">
        <f>IF(E56="","",IF(F56="",TODAY(),F56)-E56)</f>
        <v/>
      </c>
      <c r="L56" s="8">
        <f>IF(F56&lt;&gt;"","Sold",IF(E56&lt;&gt;"","Online",IF(A56&lt;&gt;"","In stock","")))</f>
        <v/>
      </c>
    </row>
    <row r="57">
      <c r="A57" s="3" t="n"/>
      <c r="B57" s="4" t="n"/>
      <c r="C57" s="5" t="n"/>
      <c r="D57" s="3" t="n"/>
      <c r="E57" s="4" t="n"/>
      <c r="F57" s="4" t="n"/>
      <c r="G57" s="5" t="n"/>
      <c r="H57" s="5" t="n"/>
      <c r="I57" s="5" t="n"/>
      <c r="J57" s="6">
        <f>IF(G57="","",G57-C57-H57-I57)</f>
        <v/>
      </c>
      <c r="K57" s="7">
        <f>IF(E57="","",IF(F57="",TODAY(),F57)-E57)</f>
        <v/>
      </c>
      <c r="L57" s="8">
        <f>IF(F57&lt;&gt;"","Sold",IF(E57&lt;&gt;"","Online",IF(A57&lt;&gt;"","In stock","")))</f>
        <v/>
      </c>
    </row>
    <row r="58">
      <c r="A58" s="3" t="n"/>
      <c r="B58" s="4" t="n"/>
      <c r="C58" s="5" t="n"/>
      <c r="D58" s="3" t="n"/>
      <c r="E58" s="4" t="n"/>
      <c r="F58" s="4" t="n"/>
      <c r="G58" s="5" t="n"/>
      <c r="H58" s="5" t="n"/>
      <c r="I58" s="5" t="n"/>
      <c r="J58" s="6">
        <f>IF(G58="","",G58-C58-H58-I58)</f>
        <v/>
      </c>
      <c r="K58" s="7">
        <f>IF(E58="","",IF(F58="",TODAY(),F58)-E58)</f>
        <v/>
      </c>
      <c r="L58" s="8">
        <f>IF(F58&lt;&gt;"","Sold",IF(E58&lt;&gt;"","Online",IF(A58&lt;&gt;"","In stock","")))</f>
        <v/>
      </c>
    </row>
    <row r="59">
      <c r="A59" s="3" t="n"/>
      <c r="B59" s="4" t="n"/>
      <c r="C59" s="5" t="n"/>
      <c r="D59" s="3" t="n"/>
      <c r="E59" s="4" t="n"/>
      <c r="F59" s="4" t="n"/>
      <c r="G59" s="5" t="n"/>
      <c r="H59" s="5" t="n"/>
      <c r="I59" s="5" t="n"/>
      <c r="J59" s="6">
        <f>IF(G59="","",G59-C59-H59-I59)</f>
        <v/>
      </c>
      <c r="K59" s="7">
        <f>IF(E59="","",IF(F59="",TODAY(),F59)-E59)</f>
        <v/>
      </c>
      <c r="L59" s="8">
        <f>IF(F59&lt;&gt;"","Sold",IF(E59&lt;&gt;"","Online",IF(A59&lt;&gt;"","In stock","")))</f>
        <v/>
      </c>
    </row>
    <row r="60">
      <c r="A60" s="3" t="n"/>
      <c r="B60" s="4" t="n"/>
      <c r="C60" s="5" t="n"/>
      <c r="D60" s="3" t="n"/>
      <c r="E60" s="4" t="n"/>
      <c r="F60" s="4" t="n"/>
      <c r="G60" s="5" t="n"/>
      <c r="H60" s="5" t="n"/>
      <c r="I60" s="5" t="n"/>
      <c r="J60" s="6">
        <f>IF(G60="","",G60-C60-H60-I60)</f>
        <v/>
      </c>
      <c r="K60" s="7">
        <f>IF(E60="","",IF(F60="",TODAY(),F60)-E60)</f>
        <v/>
      </c>
      <c r="L60" s="8">
        <f>IF(F60&lt;&gt;"","Sold",IF(E60&lt;&gt;"","Online",IF(A60&lt;&gt;"","In stock","")))</f>
        <v/>
      </c>
    </row>
    <row r="61">
      <c r="A61" s="3" t="n"/>
      <c r="B61" s="4" t="n"/>
      <c r="C61" s="5" t="n"/>
      <c r="D61" s="3" t="n"/>
      <c r="E61" s="4" t="n"/>
      <c r="F61" s="4" t="n"/>
      <c r="G61" s="5" t="n"/>
      <c r="H61" s="5" t="n"/>
      <c r="I61" s="5" t="n"/>
      <c r="J61" s="6">
        <f>IF(G61="","",G61-C61-H61-I61)</f>
        <v/>
      </c>
      <c r="K61" s="7">
        <f>IF(E61="","",IF(F61="",TODAY(),F61)-E61)</f>
        <v/>
      </c>
      <c r="L61" s="8">
        <f>IF(F61&lt;&gt;"","Sold",IF(E61&lt;&gt;"","Online",IF(A61&lt;&gt;"","In stock","")))</f>
        <v/>
      </c>
    </row>
    <row r="62">
      <c r="A62" s="3" t="n"/>
      <c r="B62" s="4" t="n"/>
      <c r="C62" s="5" t="n"/>
      <c r="D62" s="3" t="n"/>
      <c r="E62" s="4" t="n"/>
      <c r="F62" s="4" t="n"/>
      <c r="G62" s="5" t="n"/>
      <c r="H62" s="5" t="n"/>
      <c r="I62" s="5" t="n"/>
      <c r="J62" s="6">
        <f>IF(G62="","",G62-C62-H62-I62)</f>
        <v/>
      </c>
      <c r="K62" s="7">
        <f>IF(E62="","",IF(F62="",TODAY(),F62)-E62)</f>
        <v/>
      </c>
      <c r="L62" s="8">
        <f>IF(F62&lt;&gt;"","Sold",IF(E62&lt;&gt;"","Online",IF(A62&lt;&gt;"","In stock","")))</f>
        <v/>
      </c>
    </row>
    <row r="63">
      <c r="A63" s="3" t="n"/>
      <c r="B63" s="4" t="n"/>
      <c r="C63" s="5" t="n"/>
      <c r="D63" s="3" t="n"/>
      <c r="E63" s="4" t="n"/>
      <c r="F63" s="4" t="n"/>
      <c r="G63" s="5" t="n"/>
      <c r="H63" s="5" t="n"/>
      <c r="I63" s="5" t="n"/>
      <c r="J63" s="6">
        <f>IF(G63="","",G63-C63-H63-I63)</f>
        <v/>
      </c>
      <c r="K63" s="7">
        <f>IF(E63="","",IF(F63="",TODAY(),F63)-E63)</f>
        <v/>
      </c>
      <c r="L63" s="8">
        <f>IF(F63&lt;&gt;"","Sold",IF(E63&lt;&gt;"","Online",IF(A63&lt;&gt;"","In stock","")))</f>
        <v/>
      </c>
    </row>
    <row r="64">
      <c r="A64" s="3" t="n"/>
      <c r="B64" s="4" t="n"/>
      <c r="C64" s="5" t="n"/>
      <c r="D64" s="3" t="n"/>
      <c r="E64" s="4" t="n"/>
      <c r="F64" s="4" t="n"/>
      <c r="G64" s="5" t="n"/>
      <c r="H64" s="5" t="n"/>
      <c r="I64" s="5" t="n"/>
      <c r="J64" s="6">
        <f>IF(G64="","",G64-C64-H64-I64)</f>
        <v/>
      </c>
      <c r="K64" s="7">
        <f>IF(E64="","",IF(F64="",TODAY(),F64)-E64)</f>
        <v/>
      </c>
      <c r="L64" s="8">
        <f>IF(F64&lt;&gt;"","Sold",IF(E64&lt;&gt;"","Online",IF(A64&lt;&gt;"","In stock","")))</f>
        <v/>
      </c>
    </row>
    <row r="65">
      <c r="A65" s="3" t="n"/>
      <c r="B65" s="4" t="n"/>
      <c r="C65" s="5" t="n"/>
      <c r="D65" s="3" t="n"/>
      <c r="E65" s="4" t="n"/>
      <c r="F65" s="4" t="n"/>
      <c r="G65" s="5" t="n"/>
      <c r="H65" s="5" t="n"/>
      <c r="I65" s="5" t="n"/>
      <c r="J65" s="6">
        <f>IF(G65="","",G65-C65-H65-I65)</f>
        <v/>
      </c>
      <c r="K65" s="7">
        <f>IF(E65="","",IF(F65="",TODAY(),F65)-E65)</f>
        <v/>
      </c>
      <c r="L65" s="8">
        <f>IF(F65&lt;&gt;"","Sold",IF(E65&lt;&gt;"","Online",IF(A65&lt;&gt;"","In stock","")))</f>
        <v/>
      </c>
    </row>
    <row r="66">
      <c r="A66" s="3" t="n"/>
      <c r="B66" s="4" t="n"/>
      <c r="C66" s="5" t="n"/>
      <c r="D66" s="3" t="n"/>
      <c r="E66" s="4" t="n"/>
      <c r="F66" s="4" t="n"/>
      <c r="G66" s="5" t="n"/>
      <c r="H66" s="5" t="n"/>
      <c r="I66" s="5" t="n"/>
      <c r="J66" s="6">
        <f>IF(G66="","",G66-C66-H66-I66)</f>
        <v/>
      </c>
      <c r="K66" s="7">
        <f>IF(E66="","",IF(F66="",TODAY(),F66)-E66)</f>
        <v/>
      </c>
      <c r="L66" s="8">
        <f>IF(F66&lt;&gt;"","Sold",IF(E66&lt;&gt;"","Online",IF(A66&lt;&gt;"","In stock","")))</f>
        <v/>
      </c>
    </row>
    <row r="67">
      <c r="A67" s="3" t="n"/>
      <c r="B67" s="4" t="n"/>
      <c r="C67" s="5" t="n"/>
      <c r="D67" s="3" t="n"/>
      <c r="E67" s="4" t="n"/>
      <c r="F67" s="4" t="n"/>
      <c r="G67" s="5" t="n"/>
      <c r="H67" s="5" t="n"/>
      <c r="I67" s="5" t="n"/>
      <c r="J67" s="6">
        <f>IF(G67="","",G67-C67-H67-I67)</f>
        <v/>
      </c>
      <c r="K67" s="7">
        <f>IF(E67="","",IF(F67="",TODAY(),F67)-E67)</f>
        <v/>
      </c>
      <c r="L67" s="8">
        <f>IF(F67&lt;&gt;"","Sold",IF(E67&lt;&gt;"","Online",IF(A67&lt;&gt;"","In stock","")))</f>
        <v/>
      </c>
    </row>
    <row r="68">
      <c r="A68" s="3" t="n"/>
      <c r="B68" s="4" t="n"/>
      <c r="C68" s="5" t="n"/>
      <c r="D68" s="3" t="n"/>
      <c r="E68" s="4" t="n"/>
      <c r="F68" s="4" t="n"/>
      <c r="G68" s="5" t="n"/>
      <c r="H68" s="5" t="n"/>
      <c r="I68" s="5" t="n"/>
      <c r="J68" s="6">
        <f>IF(G68="","",G68-C68-H68-I68)</f>
        <v/>
      </c>
      <c r="K68" s="7">
        <f>IF(E68="","",IF(F68="",TODAY(),F68)-E68)</f>
        <v/>
      </c>
      <c r="L68" s="8">
        <f>IF(F68&lt;&gt;"","Sold",IF(E68&lt;&gt;"","Online",IF(A68&lt;&gt;"","In stock","")))</f>
        <v/>
      </c>
    </row>
    <row r="69">
      <c r="A69" s="3" t="n"/>
      <c r="B69" s="4" t="n"/>
      <c r="C69" s="5" t="n"/>
      <c r="D69" s="3" t="n"/>
      <c r="E69" s="4" t="n"/>
      <c r="F69" s="4" t="n"/>
      <c r="G69" s="5" t="n"/>
      <c r="H69" s="5" t="n"/>
      <c r="I69" s="5" t="n"/>
      <c r="J69" s="6">
        <f>IF(G69="","",G69-C69-H69-I69)</f>
        <v/>
      </c>
      <c r="K69" s="7">
        <f>IF(E69="","",IF(F69="",TODAY(),F69)-E69)</f>
        <v/>
      </c>
      <c r="L69" s="8">
        <f>IF(F69&lt;&gt;"","Sold",IF(E69&lt;&gt;"","Online",IF(A69&lt;&gt;"","In stock","")))</f>
        <v/>
      </c>
    </row>
    <row r="70">
      <c r="A70" s="3" t="n"/>
      <c r="B70" s="4" t="n"/>
      <c r="C70" s="5" t="n"/>
      <c r="D70" s="3" t="n"/>
      <c r="E70" s="4" t="n"/>
      <c r="F70" s="4" t="n"/>
      <c r="G70" s="5" t="n"/>
      <c r="H70" s="5" t="n"/>
      <c r="I70" s="5" t="n"/>
      <c r="J70" s="6">
        <f>IF(G70="","",G70-C70-H70-I70)</f>
        <v/>
      </c>
      <c r="K70" s="7">
        <f>IF(E70="","",IF(F70="",TODAY(),F70)-E70)</f>
        <v/>
      </c>
      <c r="L70" s="8">
        <f>IF(F70&lt;&gt;"","Sold",IF(E70&lt;&gt;"","Online",IF(A70&lt;&gt;"","In stock","")))</f>
        <v/>
      </c>
    </row>
    <row r="71">
      <c r="A71" s="3" t="n"/>
      <c r="B71" s="4" t="n"/>
      <c r="C71" s="5" t="n"/>
      <c r="D71" s="3" t="n"/>
      <c r="E71" s="4" t="n"/>
      <c r="F71" s="4" t="n"/>
      <c r="G71" s="5" t="n"/>
      <c r="H71" s="5" t="n"/>
      <c r="I71" s="5" t="n"/>
      <c r="J71" s="6">
        <f>IF(G71="","",G71-C71-H71-I71)</f>
        <v/>
      </c>
      <c r="K71" s="7">
        <f>IF(E71="","",IF(F71="",TODAY(),F71)-E71)</f>
        <v/>
      </c>
      <c r="L71" s="8">
        <f>IF(F71&lt;&gt;"","Sold",IF(E71&lt;&gt;"","Online",IF(A71&lt;&gt;"","In stock","")))</f>
        <v/>
      </c>
    </row>
    <row r="72">
      <c r="A72" s="3" t="n"/>
      <c r="B72" s="4" t="n"/>
      <c r="C72" s="5" t="n"/>
      <c r="D72" s="3" t="n"/>
      <c r="E72" s="4" t="n"/>
      <c r="F72" s="4" t="n"/>
      <c r="G72" s="5" t="n"/>
      <c r="H72" s="5" t="n"/>
      <c r="I72" s="5" t="n"/>
      <c r="J72" s="6">
        <f>IF(G72="","",G72-C72-H72-I72)</f>
        <v/>
      </c>
      <c r="K72" s="7">
        <f>IF(E72="","",IF(F72="",TODAY(),F72)-E72)</f>
        <v/>
      </c>
      <c r="L72" s="8">
        <f>IF(F72&lt;&gt;"","Sold",IF(E72&lt;&gt;"","Online",IF(A72&lt;&gt;"","In stock","")))</f>
        <v/>
      </c>
    </row>
    <row r="73">
      <c r="A73" s="3" t="n"/>
      <c r="B73" s="4" t="n"/>
      <c r="C73" s="5" t="n"/>
      <c r="D73" s="3" t="n"/>
      <c r="E73" s="4" t="n"/>
      <c r="F73" s="4" t="n"/>
      <c r="G73" s="5" t="n"/>
      <c r="H73" s="5" t="n"/>
      <c r="I73" s="5" t="n"/>
      <c r="J73" s="6">
        <f>IF(G73="","",G73-C73-H73-I73)</f>
        <v/>
      </c>
      <c r="K73" s="7">
        <f>IF(E73="","",IF(F73="",TODAY(),F73)-E73)</f>
        <v/>
      </c>
      <c r="L73" s="8">
        <f>IF(F73&lt;&gt;"","Sold",IF(E73&lt;&gt;"","Online",IF(A73&lt;&gt;"","In stock","")))</f>
        <v/>
      </c>
    </row>
    <row r="74">
      <c r="A74" s="3" t="n"/>
      <c r="B74" s="4" t="n"/>
      <c r="C74" s="5" t="n"/>
      <c r="D74" s="3" t="n"/>
      <c r="E74" s="4" t="n"/>
      <c r="F74" s="4" t="n"/>
      <c r="G74" s="5" t="n"/>
      <c r="H74" s="5" t="n"/>
      <c r="I74" s="5" t="n"/>
      <c r="J74" s="6">
        <f>IF(G74="","",G74-C74-H74-I74)</f>
        <v/>
      </c>
      <c r="K74" s="7">
        <f>IF(E74="","",IF(F74="",TODAY(),F74)-E74)</f>
        <v/>
      </c>
      <c r="L74" s="8">
        <f>IF(F74&lt;&gt;"","Sold",IF(E74&lt;&gt;"","Online",IF(A74&lt;&gt;"","In stock","")))</f>
        <v/>
      </c>
    </row>
    <row r="75">
      <c r="A75" s="3" t="n"/>
      <c r="B75" s="4" t="n"/>
      <c r="C75" s="5" t="n"/>
      <c r="D75" s="3" t="n"/>
      <c r="E75" s="4" t="n"/>
      <c r="F75" s="4" t="n"/>
      <c r="G75" s="5" t="n"/>
      <c r="H75" s="5" t="n"/>
      <c r="I75" s="5" t="n"/>
      <c r="J75" s="6">
        <f>IF(G75="","",G75-C75-H75-I75)</f>
        <v/>
      </c>
      <c r="K75" s="7">
        <f>IF(E75="","",IF(F75="",TODAY(),F75)-E75)</f>
        <v/>
      </c>
      <c r="L75" s="8">
        <f>IF(F75&lt;&gt;"","Sold",IF(E75&lt;&gt;"","Online",IF(A75&lt;&gt;"","In stock","")))</f>
        <v/>
      </c>
    </row>
    <row r="76">
      <c r="A76" s="3" t="n"/>
      <c r="B76" s="4" t="n"/>
      <c r="C76" s="5" t="n"/>
      <c r="D76" s="3" t="n"/>
      <c r="E76" s="4" t="n"/>
      <c r="F76" s="4" t="n"/>
      <c r="G76" s="5" t="n"/>
      <c r="H76" s="5" t="n"/>
      <c r="I76" s="5" t="n"/>
      <c r="J76" s="6">
        <f>IF(G76="","",G76-C76-H76-I76)</f>
        <v/>
      </c>
      <c r="K76" s="7">
        <f>IF(E76="","",IF(F76="",TODAY(),F76)-E76)</f>
        <v/>
      </c>
      <c r="L76" s="8">
        <f>IF(F76&lt;&gt;"","Sold",IF(E76&lt;&gt;"","Online",IF(A76&lt;&gt;"","In stock","")))</f>
        <v/>
      </c>
    </row>
    <row r="77">
      <c r="A77" s="3" t="n"/>
      <c r="B77" s="4" t="n"/>
      <c r="C77" s="5" t="n"/>
      <c r="D77" s="3" t="n"/>
      <c r="E77" s="4" t="n"/>
      <c r="F77" s="4" t="n"/>
      <c r="G77" s="5" t="n"/>
      <c r="H77" s="5" t="n"/>
      <c r="I77" s="5" t="n"/>
      <c r="J77" s="6">
        <f>IF(G77="","",G77-C77-H77-I77)</f>
        <v/>
      </c>
      <c r="K77" s="7">
        <f>IF(E77="","",IF(F77="",TODAY(),F77)-E77)</f>
        <v/>
      </c>
      <c r="L77" s="8">
        <f>IF(F77&lt;&gt;"","Sold",IF(E77&lt;&gt;"","Online",IF(A77&lt;&gt;"","In stock","")))</f>
        <v/>
      </c>
    </row>
    <row r="78">
      <c r="A78" s="3" t="n"/>
      <c r="B78" s="4" t="n"/>
      <c r="C78" s="5" t="n"/>
      <c r="D78" s="3" t="n"/>
      <c r="E78" s="4" t="n"/>
      <c r="F78" s="4" t="n"/>
      <c r="G78" s="5" t="n"/>
      <c r="H78" s="5" t="n"/>
      <c r="I78" s="5" t="n"/>
      <c r="J78" s="6">
        <f>IF(G78="","",G78-C78-H78-I78)</f>
        <v/>
      </c>
      <c r="K78" s="7">
        <f>IF(E78="","",IF(F78="",TODAY(),F78)-E78)</f>
        <v/>
      </c>
      <c r="L78" s="8">
        <f>IF(F78&lt;&gt;"","Sold",IF(E78&lt;&gt;"","Online",IF(A78&lt;&gt;"","In stock","")))</f>
        <v/>
      </c>
    </row>
    <row r="79">
      <c r="A79" s="3" t="n"/>
      <c r="B79" s="4" t="n"/>
      <c r="C79" s="5" t="n"/>
      <c r="D79" s="3" t="n"/>
      <c r="E79" s="4" t="n"/>
      <c r="F79" s="4" t="n"/>
      <c r="G79" s="5" t="n"/>
      <c r="H79" s="5" t="n"/>
      <c r="I79" s="5" t="n"/>
      <c r="J79" s="6">
        <f>IF(G79="","",G79-C79-H79-I79)</f>
        <v/>
      </c>
      <c r="K79" s="7">
        <f>IF(E79="","",IF(F79="",TODAY(),F79)-E79)</f>
        <v/>
      </c>
      <c r="L79" s="8">
        <f>IF(F79&lt;&gt;"","Sold",IF(E79&lt;&gt;"","Online",IF(A79&lt;&gt;"","In stock","")))</f>
        <v/>
      </c>
    </row>
    <row r="80">
      <c r="A80" s="3" t="n"/>
      <c r="B80" s="4" t="n"/>
      <c r="C80" s="5" t="n"/>
      <c r="D80" s="3" t="n"/>
      <c r="E80" s="4" t="n"/>
      <c r="F80" s="4" t="n"/>
      <c r="G80" s="5" t="n"/>
      <c r="H80" s="5" t="n"/>
      <c r="I80" s="5" t="n"/>
      <c r="J80" s="6">
        <f>IF(G80="","",G80-C80-H80-I80)</f>
        <v/>
      </c>
      <c r="K80" s="7">
        <f>IF(E80="","",IF(F80="",TODAY(),F80)-E80)</f>
        <v/>
      </c>
      <c r="L80" s="8">
        <f>IF(F80&lt;&gt;"","Sold",IF(E80&lt;&gt;"","Online",IF(A80&lt;&gt;"","In stock","")))</f>
        <v/>
      </c>
    </row>
    <row r="81">
      <c r="A81" s="3" t="n"/>
      <c r="B81" s="4" t="n"/>
      <c r="C81" s="5" t="n"/>
      <c r="D81" s="3" t="n"/>
      <c r="E81" s="4" t="n"/>
      <c r="F81" s="4" t="n"/>
      <c r="G81" s="5" t="n"/>
      <c r="H81" s="5" t="n"/>
      <c r="I81" s="5" t="n"/>
      <c r="J81" s="6">
        <f>IF(G81="","",G81-C81-H81-I81)</f>
        <v/>
      </c>
      <c r="K81" s="7">
        <f>IF(E81="","",IF(F81="",TODAY(),F81)-E81)</f>
        <v/>
      </c>
      <c r="L81" s="8">
        <f>IF(F81&lt;&gt;"","Sold",IF(E81&lt;&gt;"","Online",IF(A81&lt;&gt;"","In stock","")))</f>
        <v/>
      </c>
    </row>
    <row r="82">
      <c r="A82" s="3" t="n"/>
      <c r="B82" s="4" t="n"/>
      <c r="C82" s="5" t="n"/>
      <c r="D82" s="3" t="n"/>
      <c r="E82" s="4" t="n"/>
      <c r="F82" s="4" t="n"/>
      <c r="G82" s="5" t="n"/>
      <c r="H82" s="5" t="n"/>
      <c r="I82" s="5" t="n"/>
      <c r="J82" s="6">
        <f>IF(G82="","",G82-C82-H82-I82)</f>
        <v/>
      </c>
      <c r="K82" s="7">
        <f>IF(E82="","",IF(F82="",TODAY(),F82)-E82)</f>
        <v/>
      </c>
      <c r="L82" s="8">
        <f>IF(F82&lt;&gt;"","Sold",IF(E82&lt;&gt;"","Online",IF(A82&lt;&gt;"","In stock","")))</f>
        <v/>
      </c>
    </row>
    <row r="83">
      <c r="A83" s="3" t="n"/>
      <c r="B83" s="4" t="n"/>
      <c r="C83" s="5" t="n"/>
      <c r="D83" s="3" t="n"/>
      <c r="E83" s="4" t="n"/>
      <c r="F83" s="4" t="n"/>
      <c r="G83" s="5" t="n"/>
      <c r="H83" s="5" t="n"/>
      <c r="I83" s="5" t="n"/>
      <c r="J83" s="6">
        <f>IF(G83="","",G83-C83-H83-I83)</f>
        <v/>
      </c>
      <c r="K83" s="7">
        <f>IF(E83="","",IF(F83="",TODAY(),F83)-E83)</f>
        <v/>
      </c>
      <c r="L83" s="8">
        <f>IF(F83&lt;&gt;"","Sold",IF(E83&lt;&gt;"","Online",IF(A83&lt;&gt;"","In stock","")))</f>
        <v/>
      </c>
    </row>
    <row r="84">
      <c r="A84" s="3" t="n"/>
      <c r="B84" s="4" t="n"/>
      <c r="C84" s="5" t="n"/>
      <c r="D84" s="3" t="n"/>
      <c r="E84" s="4" t="n"/>
      <c r="F84" s="4" t="n"/>
      <c r="G84" s="5" t="n"/>
      <c r="H84" s="5" t="n"/>
      <c r="I84" s="5" t="n"/>
      <c r="J84" s="6">
        <f>IF(G84="","",G84-C84-H84-I84)</f>
        <v/>
      </c>
      <c r="K84" s="7">
        <f>IF(E84="","",IF(F84="",TODAY(),F84)-E84)</f>
        <v/>
      </c>
      <c r="L84" s="8">
        <f>IF(F84&lt;&gt;"","Sold",IF(E84&lt;&gt;"","Online",IF(A84&lt;&gt;"","In stock","")))</f>
        <v/>
      </c>
    </row>
    <row r="85">
      <c r="A85" s="3" t="n"/>
      <c r="B85" s="4" t="n"/>
      <c r="C85" s="5" t="n"/>
      <c r="D85" s="3" t="n"/>
      <c r="E85" s="4" t="n"/>
      <c r="F85" s="4" t="n"/>
      <c r="G85" s="5" t="n"/>
      <c r="H85" s="5" t="n"/>
      <c r="I85" s="5" t="n"/>
      <c r="J85" s="6">
        <f>IF(G85="","",G85-C85-H85-I85)</f>
        <v/>
      </c>
      <c r="K85" s="7">
        <f>IF(E85="","",IF(F85="",TODAY(),F85)-E85)</f>
        <v/>
      </c>
      <c r="L85" s="8">
        <f>IF(F85&lt;&gt;"","Sold",IF(E85&lt;&gt;"","Online",IF(A85&lt;&gt;"","In stock","")))</f>
        <v/>
      </c>
    </row>
    <row r="86">
      <c r="A86" s="3" t="n"/>
      <c r="B86" s="4" t="n"/>
      <c r="C86" s="5" t="n"/>
      <c r="D86" s="3" t="n"/>
      <c r="E86" s="4" t="n"/>
      <c r="F86" s="4" t="n"/>
      <c r="G86" s="5" t="n"/>
      <c r="H86" s="5" t="n"/>
      <c r="I86" s="5" t="n"/>
      <c r="J86" s="6">
        <f>IF(G86="","",G86-C86-H86-I86)</f>
        <v/>
      </c>
      <c r="K86" s="7">
        <f>IF(E86="","",IF(F86="",TODAY(),F86)-E86)</f>
        <v/>
      </c>
      <c r="L86" s="8">
        <f>IF(F86&lt;&gt;"","Sold",IF(E86&lt;&gt;"","Online",IF(A86&lt;&gt;"","In stock","")))</f>
        <v/>
      </c>
    </row>
    <row r="87">
      <c r="A87" s="3" t="n"/>
      <c r="B87" s="4" t="n"/>
      <c r="C87" s="5" t="n"/>
      <c r="D87" s="3" t="n"/>
      <c r="E87" s="4" t="n"/>
      <c r="F87" s="4" t="n"/>
      <c r="G87" s="5" t="n"/>
      <c r="H87" s="5" t="n"/>
      <c r="I87" s="5" t="n"/>
      <c r="J87" s="6">
        <f>IF(G87="","",G87-C87-H87-I87)</f>
        <v/>
      </c>
      <c r="K87" s="7">
        <f>IF(E87="","",IF(F87="",TODAY(),F87)-E87)</f>
        <v/>
      </c>
      <c r="L87" s="8">
        <f>IF(F87&lt;&gt;"","Sold",IF(E87&lt;&gt;"","Online",IF(A87&lt;&gt;"","In stock","")))</f>
        <v/>
      </c>
    </row>
    <row r="88">
      <c r="A88" s="3" t="n"/>
      <c r="B88" s="4" t="n"/>
      <c r="C88" s="5" t="n"/>
      <c r="D88" s="3" t="n"/>
      <c r="E88" s="4" t="n"/>
      <c r="F88" s="4" t="n"/>
      <c r="G88" s="5" t="n"/>
      <c r="H88" s="5" t="n"/>
      <c r="I88" s="5" t="n"/>
      <c r="J88" s="6">
        <f>IF(G88="","",G88-C88-H88-I88)</f>
        <v/>
      </c>
      <c r="K88" s="7">
        <f>IF(E88="","",IF(F88="",TODAY(),F88)-E88)</f>
        <v/>
      </c>
      <c r="L88" s="8">
        <f>IF(F88&lt;&gt;"","Sold",IF(E88&lt;&gt;"","Online",IF(A88&lt;&gt;"","In stock","")))</f>
        <v/>
      </c>
    </row>
    <row r="89">
      <c r="A89" s="3" t="n"/>
      <c r="B89" s="4" t="n"/>
      <c r="C89" s="5" t="n"/>
      <c r="D89" s="3" t="n"/>
      <c r="E89" s="4" t="n"/>
      <c r="F89" s="4" t="n"/>
      <c r="G89" s="5" t="n"/>
      <c r="H89" s="5" t="n"/>
      <c r="I89" s="5" t="n"/>
      <c r="J89" s="6">
        <f>IF(G89="","",G89-C89-H89-I89)</f>
        <v/>
      </c>
      <c r="K89" s="7">
        <f>IF(E89="","",IF(F89="",TODAY(),F89)-E89)</f>
        <v/>
      </c>
      <c r="L89" s="8">
        <f>IF(F89&lt;&gt;"","Sold",IF(E89&lt;&gt;"","Online",IF(A89&lt;&gt;"","In stock","")))</f>
        <v/>
      </c>
    </row>
    <row r="90">
      <c r="A90" s="3" t="n"/>
      <c r="B90" s="4" t="n"/>
      <c r="C90" s="5" t="n"/>
      <c r="D90" s="3" t="n"/>
      <c r="E90" s="4" t="n"/>
      <c r="F90" s="4" t="n"/>
      <c r="G90" s="5" t="n"/>
      <c r="H90" s="5" t="n"/>
      <c r="I90" s="5" t="n"/>
      <c r="J90" s="6">
        <f>IF(G90="","",G90-C90-H90-I90)</f>
        <v/>
      </c>
      <c r="K90" s="7">
        <f>IF(E90="","",IF(F90="",TODAY(),F90)-E90)</f>
        <v/>
      </c>
      <c r="L90" s="8">
        <f>IF(F90&lt;&gt;"","Sold",IF(E90&lt;&gt;"","Online",IF(A90&lt;&gt;"","In stock","")))</f>
        <v/>
      </c>
    </row>
    <row r="91">
      <c r="A91" s="3" t="n"/>
      <c r="B91" s="4" t="n"/>
      <c r="C91" s="5" t="n"/>
      <c r="D91" s="3" t="n"/>
      <c r="E91" s="4" t="n"/>
      <c r="F91" s="4" t="n"/>
      <c r="G91" s="5" t="n"/>
      <c r="H91" s="5" t="n"/>
      <c r="I91" s="5" t="n"/>
      <c r="J91" s="6">
        <f>IF(G91="","",G91-C91-H91-I91)</f>
        <v/>
      </c>
      <c r="K91" s="7">
        <f>IF(E91="","",IF(F91="",TODAY(),F91)-E91)</f>
        <v/>
      </c>
      <c r="L91" s="8">
        <f>IF(F91&lt;&gt;"","Sold",IF(E91&lt;&gt;"","Online",IF(A91&lt;&gt;"","In stock","")))</f>
        <v/>
      </c>
    </row>
    <row r="92">
      <c r="A92" s="3" t="n"/>
      <c r="B92" s="4" t="n"/>
      <c r="C92" s="5" t="n"/>
      <c r="D92" s="3" t="n"/>
      <c r="E92" s="4" t="n"/>
      <c r="F92" s="4" t="n"/>
      <c r="G92" s="5" t="n"/>
      <c r="H92" s="5" t="n"/>
      <c r="I92" s="5" t="n"/>
      <c r="J92" s="6">
        <f>IF(G92="","",G92-C92-H92-I92)</f>
        <v/>
      </c>
      <c r="K92" s="7">
        <f>IF(E92="","",IF(F92="",TODAY(),F92)-E92)</f>
        <v/>
      </c>
      <c r="L92" s="8">
        <f>IF(F92&lt;&gt;"","Sold",IF(E92&lt;&gt;"","Online",IF(A92&lt;&gt;"","In stock","")))</f>
        <v/>
      </c>
    </row>
    <row r="93">
      <c r="A93" s="3" t="n"/>
      <c r="B93" s="4" t="n"/>
      <c r="C93" s="5" t="n"/>
      <c r="D93" s="3" t="n"/>
      <c r="E93" s="4" t="n"/>
      <c r="F93" s="4" t="n"/>
      <c r="G93" s="5" t="n"/>
      <c r="H93" s="5" t="n"/>
      <c r="I93" s="5" t="n"/>
      <c r="J93" s="6">
        <f>IF(G93="","",G93-C93-H93-I93)</f>
        <v/>
      </c>
      <c r="K93" s="7">
        <f>IF(E93="","",IF(F93="",TODAY(),F93)-E93)</f>
        <v/>
      </c>
      <c r="L93" s="8">
        <f>IF(F93&lt;&gt;"","Sold",IF(E93&lt;&gt;"","Online",IF(A93&lt;&gt;"","In stock","")))</f>
        <v/>
      </c>
    </row>
    <row r="94">
      <c r="A94" s="3" t="n"/>
      <c r="B94" s="4" t="n"/>
      <c r="C94" s="5" t="n"/>
      <c r="D94" s="3" t="n"/>
      <c r="E94" s="4" t="n"/>
      <c r="F94" s="4" t="n"/>
      <c r="G94" s="5" t="n"/>
      <c r="H94" s="5" t="n"/>
      <c r="I94" s="5" t="n"/>
      <c r="J94" s="6">
        <f>IF(G94="","",G94-C94-H94-I94)</f>
        <v/>
      </c>
      <c r="K94" s="7">
        <f>IF(E94="","",IF(F94="",TODAY(),F94)-E94)</f>
        <v/>
      </c>
      <c r="L94" s="8">
        <f>IF(F94&lt;&gt;"","Sold",IF(E94&lt;&gt;"","Online",IF(A94&lt;&gt;"","In stock","")))</f>
        <v/>
      </c>
    </row>
    <row r="95">
      <c r="A95" s="3" t="n"/>
      <c r="B95" s="4" t="n"/>
      <c r="C95" s="5" t="n"/>
      <c r="D95" s="3" t="n"/>
      <c r="E95" s="4" t="n"/>
      <c r="F95" s="4" t="n"/>
      <c r="G95" s="5" t="n"/>
      <c r="H95" s="5" t="n"/>
      <c r="I95" s="5" t="n"/>
      <c r="J95" s="6">
        <f>IF(G95="","",G95-C95-H95-I95)</f>
        <v/>
      </c>
      <c r="K95" s="7">
        <f>IF(E95="","",IF(F95="",TODAY(),F95)-E95)</f>
        <v/>
      </c>
      <c r="L95" s="8">
        <f>IF(F95&lt;&gt;"","Sold",IF(E95&lt;&gt;"","Online",IF(A95&lt;&gt;"","In stock","")))</f>
        <v/>
      </c>
    </row>
    <row r="96">
      <c r="A96" s="3" t="n"/>
      <c r="B96" s="4" t="n"/>
      <c r="C96" s="5" t="n"/>
      <c r="D96" s="3" t="n"/>
      <c r="E96" s="4" t="n"/>
      <c r="F96" s="4" t="n"/>
      <c r="G96" s="5" t="n"/>
      <c r="H96" s="5" t="n"/>
      <c r="I96" s="5" t="n"/>
      <c r="J96" s="6">
        <f>IF(G96="","",G96-C96-H96-I96)</f>
        <v/>
      </c>
      <c r="K96" s="7">
        <f>IF(E96="","",IF(F96="",TODAY(),F96)-E96)</f>
        <v/>
      </c>
      <c r="L96" s="8">
        <f>IF(F96&lt;&gt;"","Sold",IF(E96&lt;&gt;"","Online",IF(A96&lt;&gt;"","In stock","")))</f>
        <v/>
      </c>
    </row>
    <row r="97">
      <c r="A97" s="3" t="n"/>
      <c r="B97" s="4" t="n"/>
      <c r="C97" s="5" t="n"/>
      <c r="D97" s="3" t="n"/>
      <c r="E97" s="4" t="n"/>
      <c r="F97" s="4" t="n"/>
      <c r="G97" s="5" t="n"/>
      <c r="H97" s="5" t="n"/>
      <c r="I97" s="5" t="n"/>
      <c r="J97" s="6">
        <f>IF(G97="","",G97-C97-H97-I97)</f>
        <v/>
      </c>
      <c r="K97" s="7">
        <f>IF(E97="","",IF(F97="",TODAY(),F97)-E97)</f>
        <v/>
      </c>
      <c r="L97" s="8">
        <f>IF(F97&lt;&gt;"","Sold",IF(E97&lt;&gt;"","Online",IF(A97&lt;&gt;"","In stock","")))</f>
        <v/>
      </c>
    </row>
    <row r="98">
      <c r="A98" s="3" t="n"/>
      <c r="B98" s="4" t="n"/>
      <c r="C98" s="5" t="n"/>
      <c r="D98" s="3" t="n"/>
      <c r="E98" s="4" t="n"/>
      <c r="F98" s="4" t="n"/>
      <c r="G98" s="5" t="n"/>
      <c r="H98" s="5" t="n"/>
      <c r="I98" s="5" t="n"/>
      <c r="J98" s="6">
        <f>IF(G98="","",G98-C98-H98-I98)</f>
        <v/>
      </c>
      <c r="K98" s="7">
        <f>IF(E98="","",IF(F98="",TODAY(),F98)-E98)</f>
        <v/>
      </c>
      <c r="L98" s="8">
        <f>IF(F98&lt;&gt;"","Sold",IF(E98&lt;&gt;"","Online",IF(A98&lt;&gt;"","In stock","")))</f>
        <v/>
      </c>
    </row>
    <row r="99">
      <c r="A99" s="3" t="n"/>
      <c r="B99" s="4" t="n"/>
      <c r="C99" s="5" t="n"/>
      <c r="D99" s="3" t="n"/>
      <c r="E99" s="4" t="n"/>
      <c r="F99" s="4" t="n"/>
      <c r="G99" s="5" t="n"/>
      <c r="H99" s="5" t="n"/>
      <c r="I99" s="5" t="n"/>
      <c r="J99" s="6">
        <f>IF(G99="","",G99-C99-H99-I99)</f>
        <v/>
      </c>
      <c r="K99" s="7">
        <f>IF(E99="","",IF(F99="",TODAY(),F99)-E99)</f>
        <v/>
      </c>
      <c r="L99" s="8">
        <f>IF(F99&lt;&gt;"","Sold",IF(E99&lt;&gt;"","Online",IF(A99&lt;&gt;"","In stock","")))</f>
        <v/>
      </c>
    </row>
    <row r="100">
      <c r="A100" s="3" t="n"/>
      <c r="B100" s="4" t="n"/>
      <c r="C100" s="5" t="n"/>
      <c r="D100" s="3" t="n"/>
      <c r="E100" s="4" t="n"/>
      <c r="F100" s="4" t="n"/>
      <c r="G100" s="5" t="n"/>
      <c r="H100" s="5" t="n"/>
      <c r="I100" s="5" t="n"/>
      <c r="J100" s="6">
        <f>IF(G100="","",G100-C100-H100-I100)</f>
        <v/>
      </c>
      <c r="K100" s="7">
        <f>IF(E100="","",IF(F100="",TODAY(),F100)-E100)</f>
        <v/>
      </c>
      <c r="L100" s="8">
        <f>IF(F100&lt;&gt;"","Sold",IF(E100&lt;&gt;"","Online",IF(A100&lt;&gt;"","In stock","")))</f>
        <v/>
      </c>
    </row>
    <row r="101">
      <c r="A101" s="3" t="n"/>
      <c r="B101" s="4" t="n"/>
      <c r="C101" s="5" t="n"/>
      <c r="D101" s="3" t="n"/>
      <c r="E101" s="4" t="n"/>
      <c r="F101" s="4" t="n"/>
      <c r="G101" s="5" t="n"/>
      <c r="H101" s="5" t="n"/>
      <c r="I101" s="5" t="n"/>
      <c r="J101" s="6">
        <f>IF(G101="","",G101-C101-H101-I101)</f>
        <v/>
      </c>
      <c r="K101" s="7">
        <f>IF(E101="","",IF(F101="",TODAY(),F101)-E101)</f>
        <v/>
      </c>
      <c r="L101" s="8">
        <f>IF(F101&lt;&gt;"","Sold",IF(E101&lt;&gt;"","Online",IF(A101&lt;&gt;"","In stock","")))</f>
        <v/>
      </c>
    </row>
    <row r="102">
      <c r="A102" s="3" t="n"/>
      <c r="B102" s="4" t="n"/>
      <c r="C102" s="5" t="n"/>
      <c r="D102" s="3" t="n"/>
      <c r="E102" s="4" t="n"/>
      <c r="F102" s="4" t="n"/>
      <c r="G102" s="5" t="n"/>
      <c r="H102" s="5" t="n"/>
      <c r="I102" s="5" t="n"/>
      <c r="J102" s="6">
        <f>IF(G102="","",G102-C102-H102-I102)</f>
        <v/>
      </c>
      <c r="K102" s="7">
        <f>IF(E102="","",IF(F102="",TODAY(),F102)-E102)</f>
        <v/>
      </c>
      <c r="L102" s="8">
        <f>IF(F102&lt;&gt;"","Sold",IF(E102&lt;&gt;"","Online",IF(A102&lt;&gt;"","In stock","")))</f>
        <v/>
      </c>
    </row>
    <row r="103">
      <c r="A103" s="3" t="n"/>
      <c r="B103" s="4" t="n"/>
      <c r="C103" s="5" t="n"/>
      <c r="D103" s="3" t="n"/>
      <c r="E103" s="4" t="n"/>
      <c r="F103" s="4" t="n"/>
      <c r="G103" s="5" t="n"/>
      <c r="H103" s="5" t="n"/>
      <c r="I103" s="5" t="n"/>
      <c r="J103" s="6">
        <f>IF(G103="","",G103-C103-H103-I103)</f>
        <v/>
      </c>
      <c r="K103" s="7">
        <f>IF(E103="","",IF(F103="",TODAY(),F103)-E103)</f>
        <v/>
      </c>
      <c r="L103" s="8">
        <f>IF(F103&lt;&gt;"","Sold",IF(E103&lt;&gt;"","Online",IF(A103&lt;&gt;"","In stock","")))</f>
        <v/>
      </c>
    </row>
    <row r="104">
      <c r="A104" s="3" t="n"/>
      <c r="B104" s="4" t="n"/>
      <c r="C104" s="5" t="n"/>
      <c r="D104" s="3" t="n"/>
      <c r="E104" s="4" t="n"/>
      <c r="F104" s="4" t="n"/>
      <c r="G104" s="5" t="n"/>
      <c r="H104" s="5" t="n"/>
      <c r="I104" s="5" t="n"/>
      <c r="J104" s="6">
        <f>IF(G104="","",G104-C104-H104-I104)</f>
        <v/>
      </c>
      <c r="K104" s="7">
        <f>IF(E104="","",IF(F104="",TODAY(),F104)-E104)</f>
        <v/>
      </c>
      <c r="L104" s="8">
        <f>IF(F104&lt;&gt;"","Sold",IF(E104&lt;&gt;"","Online",IF(A104&lt;&gt;"","In stock","")))</f>
        <v/>
      </c>
    </row>
    <row r="105">
      <c r="A105" s="3" t="n"/>
      <c r="B105" s="4" t="n"/>
      <c r="C105" s="5" t="n"/>
      <c r="D105" s="3" t="n"/>
      <c r="E105" s="4" t="n"/>
      <c r="F105" s="4" t="n"/>
      <c r="G105" s="5" t="n"/>
      <c r="H105" s="5" t="n"/>
      <c r="I105" s="5" t="n"/>
      <c r="J105" s="6">
        <f>IF(G105="","",G105-C105-H105-I105)</f>
        <v/>
      </c>
      <c r="K105" s="7">
        <f>IF(E105="","",IF(F105="",TODAY(),F105)-E105)</f>
        <v/>
      </c>
      <c r="L105" s="8">
        <f>IF(F105&lt;&gt;"","Sold",IF(E105&lt;&gt;"","Online",IF(A105&lt;&gt;"","In stock","")))</f>
        <v/>
      </c>
    </row>
    <row r="106">
      <c r="A106" s="3" t="n"/>
      <c r="B106" s="4" t="n"/>
      <c r="C106" s="5" t="n"/>
      <c r="D106" s="3" t="n"/>
      <c r="E106" s="4" t="n"/>
      <c r="F106" s="4" t="n"/>
      <c r="G106" s="5" t="n"/>
      <c r="H106" s="5" t="n"/>
      <c r="I106" s="5" t="n"/>
      <c r="J106" s="6">
        <f>IF(G106="","",G106-C106-H106-I106)</f>
        <v/>
      </c>
      <c r="K106" s="7">
        <f>IF(E106="","",IF(F106="",TODAY(),F106)-E106)</f>
        <v/>
      </c>
      <c r="L106" s="8">
        <f>IF(F106&lt;&gt;"","Sold",IF(E106&lt;&gt;"","Online",IF(A106&lt;&gt;"","In stock","")))</f>
        <v/>
      </c>
    </row>
    <row r="107">
      <c r="A107" s="3" t="n"/>
      <c r="B107" s="4" t="n"/>
      <c r="C107" s="5" t="n"/>
      <c r="D107" s="3" t="n"/>
      <c r="E107" s="4" t="n"/>
      <c r="F107" s="4" t="n"/>
      <c r="G107" s="5" t="n"/>
      <c r="H107" s="5" t="n"/>
      <c r="I107" s="5" t="n"/>
      <c r="J107" s="6">
        <f>IF(G107="","",G107-C107-H107-I107)</f>
        <v/>
      </c>
      <c r="K107" s="7">
        <f>IF(E107="","",IF(F107="",TODAY(),F107)-E107)</f>
        <v/>
      </c>
      <c r="L107" s="8">
        <f>IF(F107&lt;&gt;"","Sold",IF(E107&lt;&gt;"","Online",IF(A107&lt;&gt;"","In stock","")))</f>
        <v/>
      </c>
    </row>
    <row r="108">
      <c r="A108" s="3" t="n"/>
      <c r="B108" s="4" t="n"/>
      <c r="C108" s="5" t="n"/>
      <c r="D108" s="3" t="n"/>
      <c r="E108" s="4" t="n"/>
      <c r="F108" s="4" t="n"/>
      <c r="G108" s="5" t="n"/>
      <c r="H108" s="5" t="n"/>
      <c r="I108" s="5" t="n"/>
      <c r="J108" s="6">
        <f>IF(G108="","",G108-C108-H108-I108)</f>
        <v/>
      </c>
      <c r="K108" s="7">
        <f>IF(E108="","",IF(F108="",TODAY(),F108)-E108)</f>
        <v/>
      </c>
      <c r="L108" s="8">
        <f>IF(F108&lt;&gt;"","Sold",IF(E108&lt;&gt;"","Online",IF(A108&lt;&gt;"","In stock","")))</f>
        <v/>
      </c>
    </row>
    <row r="109">
      <c r="A109" s="3" t="n"/>
      <c r="B109" s="4" t="n"/>
      <c r="C109" s="5" t="n"/>
      <c r="D109" s="3" t="n"/>
      <c r="E109" s="4" t="n"/>
      <c r="F109" s="4" t="n"/>
      <c r="G109" s="5" t="n"/>
      <c r="H109" s="5" t="n"/>
      <c r="I109" s="5" t="n"/>
      <c r="J109" s="6">
        <f>IF(G109="","",G109-C109-H109-I109)</f>
        <v/>
      </c>
      <c r="K109" s="7">
        <f>IF(E109="","",IF(F109="",TODAY(),F109)-E109)</f>
        <v/>
      </c>
      <c r="L109" s="8">
        <f>IF(F109&lt;&gt;"","Sold",IF(E109&lt;&gt;"","Online",IF(A109&lt;&gt;"","In stock","")))</f>
        <v/>
      </c>
    </row>
    <row r="110">
      <c r="A110" s="3" t="n"/>
      <c r="B110" s="4" t="n"/>
      <c r="C110" s="5" t="n"/>
      <c r="D110" s="3" t="n"/>
      <c r="E110" s="4" t="n"/>
      <c r="F110" s="4" t="n"/>
      <c r="G110" s="5" t="n"/>
      <c r="H110" s="5" t="n"/>
      <c r="I110" s="5" t="n"/>
      <c r="J110" s="6">
        <f>IF(G110="","",G110-C110-H110-I110)</f>
        <v/>
      </c>
      <c r="K110" s="7">
        <f>IF(E110="","",IF(F110="",TODAY(),F110)-E110)</f>
        <v/>
      </c>
      <c r="L110" s="8">
        <f>IF(F110&lt;&gt;"","Sold",IF(E110&lt;&gt;"","Online",IF(A110&lt;&gt;"","In stock","")))</f>
        <v/>
      </c>
    </row>
    <row r="111">
      <c r="A111" s="3" t="n"/>
      <c r="B111" s="4" t="n"/>
      <c r="C111" s="5" t="n"/>
      <c r="D111" s="3" t="n"/>
      <c r="E111" s="4" t="n"/>
      <c r="F111" s="4" t="n"/>
      <c r="G111" s="5" t="n"/>
      <c r="H111" s="5" t="n"/>
      <c r="I111" s="5" t="n"/>
      <c r="J111" s="6">
        <f>IF(G111="","",G111-C111-H111-I111)</f>
        <v/>
      </c>
      <c r="K111" s="7">
        <f>IF(E111="","",IF(F111="",TODAY(),F111)-E111)</f>
        <v/>
      </c>
      <c r="L111" s="8">
        <f>IF(F111&lt;&gt;"","Sold",IF(E111&lt;&gt;"","Online",IF(A111&lt;&gt;"","In stock","")))</f>
        <v/>
      </c>
    </row>
    <row r="112">
      <c r="A112" s="3" t="n"/>
      <c r="B112" s="4" t="n"/>
      <c r="C112" s="5" t="n"/>
      <c r="D112" s="3" t="n"/>
      <c r="E112" s="4" t="n"/>
      <c r="F112" s="4" t="n"/>
      <c r="G112" s="5" t="n"/>
      <c r="H112" s="5" t="n"/>
      <c r="I112" s="5" t="n"/>
      <c r="J112" s="6">
        <f>IF(G112="","",G112-C112-H112-I112)</f>
        <v/>
      </c>
      <c r="K112" s="7">
        <f>IF(E112="","",IF(F112="",TODAY(),F112)-E112)</f>
        <v/>
      </c>
      <c r="L112" s="8">
        <f>IF(F112&lt;&gt;"","Sold",IF(E112&lt;&gt;"","Online",IF(A112&lt;&gt;"","In stock","")))</f>
        <v/>
      </c>
    </row>
    <row r="113">
      <c r="A113" s="3" t="n"/>
      <c r="B113" s="4" t="n"/>
      <c r="C113" s="5" t="n"/>
      <c r="D113" s="3" t="n"/>
      <c r="E113" s="4" t="n"/>
      <c r="F113" s="4" t="n"/>
      <c r="G113" s="5" t="n"/>
      <c r="H113" s="5" t="n"/>
      <c r="I113" s="5" t="n"/>
      <c r="J113" s="6">
        <f>IF(G113="","",G113-C113-H113-I113)</f>
        <v/>
      </c>
      <c r="K113" s="7">
        <f>IF(E113="","",IF(F113="",TODAY(),F113)-E113)</f>
        <v/>
      </c>
      <c r="L113" s="8">
        <f>IF(F113&lt;&gt;"","Sold",IF(E113&lt;&gt;"","Online",IF(A113&lt;&gt;"","In stock","")))</f>
        <v/>
      </c>
    </row>
    <row r="114">
      <c r="A114" s="3" t="n"/>
      <c r="B114" s="4" t="n"/>
      <c r="C114" s="5" t="n"/>
      <c r="D114" s="3" t="n"/>
      <c r="E114" s="4" t="n"/>
      <c r="F114" s="4" t="n"/>
      <c r="G114" s="5" t="n"/>
      <c r="H114" s="5" t="n"/>
      <c r="I114" s="5" t="n"/>
      <c r="J114" s="6">
        <f>IF(G114="","",G114-C114-H114-I114)</f>
        <v/>
      </c>
      <c r="K114" s="7">
        <f>IF(E114="","",IF(F114="",TODAY(),F114)-E114)</f>
        <v/>
      </c>
      <c r="L114" s="8">
        <f>IF(F114&lt;&gt;"","Sold",IF(E114&lt;&gt;"","Online",IF(A114&lt;&gt;"","In stock","")))</f>
        <v/>
      </c>
    </row>
    <row r="115">
      <c r="A115" s="3" t="n"/>
      <c r="B115" s="4" t="n"/>
      <c r="C115" s="5" t="n"/>
      <c r="D115" s="3" t="n"/>
      <c r="E115" s="4" t="n"/>
      <c r="F115" s="4" t="n"/>
      <c r="G115" s="5" t="n"/>
      <c r="H115" s="5" t="n"/>
      <c r="I115" s="5" t="n"/>
      <c r="J115" s="6">
        <f>IF(G115="","",G115-C115-H115-I115)</f>
        <v/>
      </c>
      <c r="K115" s="7">
        <f>IF(E115="","",IF(F115="",TODAY(),F115)-E115)</f>
        <v/>
      </c>
      <c r="L115" s="8">
        <f>IF(F115&lt;&gt;"","Sold",IF(E115&lt;&gt;"","Online",IF(A115&lt;&gt;"","In stock","")))</f>
        <v/>
      </c>
    </row>
    <row r="116">
      <c r="A116" s="3" t="n"/>
      <c r="B116" s="4" t="n"/>
      <c r="C116" s="5" t="n"/>
      <c r="D116" s="3" t="n"/>
      <c r="E116" s="4" t="n"/>
      <c r="F116" s="4" t="n"/>
      <c r="G116" s="5" t="n"/>
      <c r="H116" s="5" t="n"/>
      <c r="I116" s="5" t="n"/>
      <c r="J116" s="6">
        <f>IF(G116="","",G116-C116-H116-I116)</f>
        <v/>
      </c>
      <c r="K116" s="7">
        <f>IF(E116="","",IF(F116="",TODAY(),F116)-E116)</f>
        <v/>
      </c>
      <c r="L116" s="8">
        <f>IF(F116&lt;&gt;"","Sold",IF(E116&lt;&gt;"","Online",IF(A116&lt;&gt;"","In stock","")))</f>
        <v/>
      </c>
    </row>
    <row r="117">
      <c r="A117" s="3" t="n"/>
      <c r="B117" s="4" t="n"/>
      <c r="C117" s="5" t="n"/>
      <c r="D117" s="3" t="n"/>
      <c r="E117" s="4" t="n"/>
      <c r="F117" s="4" t="n"/>
      <c r="G117" s="5" t="n"/>
      <c r="H117" s="5" t="n"/>
      <c r="I117" s="5" t="n"/>
      <c r="J117" s="6">
        <f>IF(G117="","",G117-C117-H117-I117)</f>
        <v/>
      </c>
      <c r="K117" s="7">
        <f>IF(E117="","",IF(F117="",TODAY(),F117)-E117)</f>
        <v/>
      </c>
      <c r="L117" s="8">
        <f>IF(F117&lt;&gt;"","Sold",IF(E117&lt;&gt;"","Online",IF(A117&lt;&gt;"","In stock","")))</f>
        <v/>
      </c>
    </row>
    <row r="118">
      <c r="A118" s="3" t="n"/>
      <c r="B118" s="4" t="n"/>
      <c r="C118" s="5" t="n"/>
      <c r="D118" s="3" t="n"/>
      <c r="E118" s="4" t="n"/>
      <c r="F118" s="4" t="n"/>
      <c r="G118" s="5" t="n"/>
      <c r="H118" s="5" t="n"/>
      <c r="I118" s="5" t="n"/>
      <c r="J118" s="6">
        <f>IF(G118="","",G118-C118-H118-I118)</f>
        <v/>
      </c>
      <c r="K118" s="7">
        <f>IF(E118="","",IF(F118="",TODAY(),F118)-E118)</f>
        <v/>
      </c>
      <c r="L118" s="8">
        <f>IF(F118&lt;&gt;"","Sold",IF(E118&lt;&gt;"","Online",IF(A118&lt;&gt;"","In stock","")))</f>
        <v/>
      </c>
    </row>
    <row r="119">
      <c r="A119" s="3" t="n"/>
      <c r="B119" s="4" t="n"/>
      <c r="C119" s="5" t="n"/>
      <c r="D119" s="3" t="n"/>
      <c r="E119" s="4" t="n"/>
      <c r="F119" s="4" t="n"/>
      <c r="G119" s="5" t="n"/>
      <c r="H119" s="5" t="n"/>
      <c r="I119" s="5" t="n"/>
      <c r="J119" s="6">
        <f>IF(G119="","",G119-C119-H119-I119)</f>
        <v/>
      </c>
      <c r="K119" s="7">
        <f>IF(E119="","",IF(F119="",TODAY(),F119)-E119)</f>
        <v/>
      </c>
      <c r="L119" s="8">
        <f>IF(F119&lt;&gt;"","Sold",IF(E119&lt;&gt;"","Online",IF(A119&lt;&gt;"","In stock","")))</f>
        <v/>
      </c>
    </row>
    <row r="120">
      <c r="A120" s="3" t="n"/>
      <c r="B120" s="4" t="n"/>
      <c r="C120" s="5" t="n"/>
      <c r="D120" s="3" t="n"/>
      <c r="E120" s="4" t="n"/>
      <c r="F120" s="4" t="n"/>
      <c r="G120" s="5" t="n"/>
      <c r="H120" s="5" t="n"/>
      <c r="I120" s="5" t="n"/>
      <c r="J120" s="6">
        <f>IF(G120="","",G120-C120-H120-I120)</f>
        <v/>
      </c>
      <c r="K120" s="7">
        <f>IF(E120="","",IF(F120="",TODAY(),F120)-E120)</f>
        <v/>
      </c>
      <c r="L120" s="8">
        <f>IF(F120&lt;&gt;"","Sold",IF(E120&lt;&gt;"","Online",IF(A120&lt;&gt;"","In stock","")))</f>
        <v/>
      </c>
    </row>
    <row r="121">
      <c r="A121" s="3" t="n"/>
      <c r="B121" s="4" t="n"/>
      <c r="C121" s="5" t="n"/>
      <c r="D121" s="3" t="n"/>
      <c r="E121" s="4" t="n"/>
      <c r="F121" s="4" t="n"/>
      <c r="G121" s="5" t="n"/>
      <c r="H121" s="5" t="n"/>
      <c r="I121" s="5" t="n"/>
      <c r="J121" s="6">
        <f>IF(G121="","",G121-C121-H121-I121)</f>
        <v/>
      </c>
      <c r="K121" s="7">
        <f>IF(E121="","",IF(F121="",TODAY(),F121)-E121)</f>
        <v/>
      </c>
      <c r="L121" s="8">
        <f>IF(F121&lt;&gt;"","Sold",IF(E121&lt;&gt;"","Online",IF(A121&lt;&gt;"","In stock","")))</f>
        <v/>
      </c>
    </row>
    <row r="122">
      <c r="A122" s="3" t="n"/>
      <c r="B122" s="4" t="n"/>
      <c r="C122" s="5" t="n"/>
      <c r="D122" s="3" t="n"/>
      <c r="E122" s="4" t="n"/>
      <c r="F122" s="4" t="n"/>
      <c r="G122" s="5" t="n"/>
      <c r="H122" s="5" t="n"/>
      <c r="I122" s="5" t="n"/>
      <c r="J122" s="6">
        <f>IF(G122="","",G122-C122-H122-I122)</f>
        <v/>
      </c>
      <c r="K122" s="7">
        <f>IF(E122="","",IF(F122="",TODAY(),F122)-E122)</f>
        <v/>
      </c>
      <c r="L122" s="8">
        <f>IF(F122&lt;&gt;"","Sold",IF(E122&lt;&gt;"","Online",IF(A122&lt;&gt;"","In stock","")))</f>
        <v/>
      </c>
    </row>
    <row r="123">
      <c r="A123" s="3" t="n"/>
      <c r="B123" s="4" t="n"/>
      <c r="C123" s="5" t="n"/>
      <c r="D123" s="3" t="n"/>
      <c r="E123" s="4" t="n"/>
      <c r="F123" s="4" t="n"/>
      <c r="G123" s="5" t="n"/>
      <c r="H123" s="5" t="n"/>
      <c r="I123" s="5" t="n"/>
      <c r="J123" s="6">
        <f>IF(G123="","",G123-C123-H123-I123)</f>
        <v/>
      </c>
      <c r="K123" s="7">
        <f>IF(E123="","",IF(F123="",TODAY(),F123)-E123)</f>
        <v/>
      </c>
      <c r="L123" s="8">
        <f>IF(F123&lt;&gt;"","Sold",IF(E123&lt;&gt;"","Online",IF(A123&lt;&gt;"","In stock","")))</f>
        <v/>
      </c>
    </row>
    <row r="124">
      <c r="A124" s="3" t="n"/>
      <c r="B124" s="4" t="n"/>
      <c r="C124" s="5" t="n"/>
      <c r="D124" s="3" t="n"/>
      <c r="E124" s="4" t="n"/>
      <c r="F124" s="4" t="n"/>
      <c r="G124" s="5" t="n"/>
      <c r="H124" s="5" t="n"/>
      <c r="I124" s="5" t="n"/>
      <c r="J124" s="6">
        <f>IF(G124="","",G124-C124-H124-I124)</f>
        <v/>
      </c>
      <c r="K124" s="7">
        <f>IF(E124="","",IF(F124="",TODAY(),F124)-E124)</f>
        <v/>
      </c>
      <c r="L124" s="8">
        <f>IF(F124&lt;&gt;"","Sold",IF(E124&lt;&gt;"","Online",IF(A124&lt;&gt;"","In stock","")))</f>
        <v/>
      </c>
    </row>
    <row r="125">
      <c r="A125" s="3" t="n"/>
      <c r="B125" s="4" t="n"/>
      <c r="C125" s="5" t="n"/>
      <c r="D125" s="3" t="n"/>
      <c r="E125" s="4" t="n"/>
      <c r="F125" s="4" t="n"/>
      <c r="G125" s="5" t="n"/>
      <c r="H125" s="5" t="n"/>
      <c r="I125" s="5" t="n"/>
      <c r="J125" s="6">
        <f>IF(G125="","",G125-C125-H125-I125)</f>
        <v/>
      </c>
      <c r="K125" s="7">
        <f>IF(E125="","",IF(F125="",TODAY(),F125)-E125)</f>
        <v/>
      </c>
      <c r="L125" s="8">
        <f>IF(F125&lt;&gt;"","Sold",IF(E125&lt;&gt;"","Online",IF(A125&lt;&gt;"","In stock","")))</f>
        <v/>
      </c>
    </row>
    <row r="126">
      <c r="A126" s="3" t="n"/>
      <c r="B126" s="4" t="n"/>
      <c r="C126" s="5" t="n"/>
      <c r="D126" s="3" t="n"/>
      <c r="E126" s="4" t="n"/>
      <c r="F126" s="4" t="n"/>
      <c r="G126" s="5" t="n"/>
      <c r="H126" s="5" t="n"/>
      <c r="I126" s="5" t="n"/>
      <c r="J126" s="6">
        <f>IF(G126="","",G126-C126-H126-I126)</f>
        <v/>
      </c>
      <c r="K126" s="7">
        <f>IF(E126="","",IF(F126="",TODAY(),F126)-E126)</f>
        <v/>
      </c>
      <c r="L126" s="8">
        <f>IF(F126&lt;&gt;"","Sold",IF(E126&lt;&gt;"","Online",IF(A126&lt;&gt;"","In stock","")))</f>
        <v/>
      </c>
    </row>
    <row r="127">
      <c r="A127" s="3" t="n"/>
      <c r="B127" s="4" t="n"/>
      <c r="C127" s="5" t="n"/>
      <c r="D127" s="3" t="n"/>
      <c r="E127" s="4" t="n"/>
      <c r="F127" s="4" t="n"/>
      <c r="G127" s="5" t="n"/>
      <c r="H127" s="5" t="n"/>
      <c r="I127" s="5" t="n"/>
      <c r="J127" s="6">
        <f>IF(G127="","",G127-C127-H127-I127)</f>
        <v/>
      </c>
      <c r="K127" s="7">
        <f>IF(E127="","",IF(F127="",TODAY(),F127)-E127)</f>
        <v/>
      </c>
      <c r="L127" s="8">
        <f>IF(F127&lt;&gt;"","Sold",IF(E127&lt;&gt;"","Online",IF(A127&lt;&gt;"","In stock","")))</f>
        <v/>
      </c>
    </row>
    <row r="128">
      <c r="A128" s="3" t="n"/>
      <c r="B128" s="4" t="n"/>
      <c r="C128" s="5" t="n"/>
      <c r="D128" s="3" t="n"/>
      <c r="E128" s="4" t="n"/>
      <c r="F128" s="4" t="n"/>
      <c r="G128" s="5" t="n"/>
      <c r="H128" s="5" t="n"/>
      <c r="I128" s="5" t="n"/>
      <c r="J128" s="6">
        <f>IF(G128="","",G128-C128-H128-I128)</f>
        <v/>
      </c>
      <c r="K128" s="7">
        <f>IF(E128="","",IF(F128="",TODAY(),F128)-E128)</f>
        <v/>
      </c>
      <c r="L128" s="8">
        <f>IF(F128&lt;&gt;"","Sold",IF(E128&lt;&gt;"","Online",IF(A128&lt;&gt;"","In stock","")))</f>
        <v/>
      </c>
    </row>
    <row r="129">
      <c r="A129" s="3" t="n"/>
      <c r="B129" s="4" t="n"/>
      <c r="C129" s="5" t="n"/>
      <c r="D129" s="3" t="n"/>
      <c r="E129" s="4" t="n"/>
      <c r="F129" s="4" t="n"/>
      <c r="G129" s="5" t="n"/>
      <c r="H129" s="5" t="n"/>
      <c r="I129" s="5" t="n"/>
      <c r="J129" s="6">
        <f>IF(G129="","",G129-C129-H129-I129)</f>
        <v/>
      </c>
      <c r="K129" s="7">
        <f>IF(E129="","",IF(F129="",TODAY(),F129)-E129)</f>
        <v/>
      </c>
      <c r="L129" s="8">
        <f>IF(F129&lt;&gt;"","Sold",IF(E129&lt;&gt;"","Online",IF(A129&lt;&gt;"","In stock","")))</f>
        <v/>
      </c>
    </row>
    <row r="130">
      <c r="A130" s="3" t="n"/>
      <c r="B130" s="4" t="n"/>
      <c r="C130" s="5" t="n"/>
      <c r="D130" s="3" t="n"/>
      <c r="E130" s="4" t="n"/>
      <c r="F130" s="4" t="n"/>
      <c r="G130" s="5" t="n"/>
      <c r="H130" s="5" t="n"/>
      <c r="I130" s="5" t="n"/>
      <c r="J130" s="6">
        <f>IF(G130="","",G130-C130-H130-I130)</f>
        <v/>
      </c>
      <c r="K130" s="7">
        <f>IF(E130="","",IF(F130="",TODAY(),F130)-E130)</f>
        <v/>
      </c>
      <c r="L130" s="8">
        <f>IF(F130&lt;&gt;"","Sold",IF(E130&lt;&gt;"","Online",IF(A130&lt;&gt;"","In stock","")))</f>
        <v/>
      </c>
    </row>
    <row r="131">
      <c r="A131" s="3" t="n"/>
      <c r="B131" s="4" t="n"/>
      <c r="C131" s="5" t="n"/>
      <c r="D131" s="3" t="n"/>
      <c r="E131" s="4" t="n"/>
      <c r="F131" s="4" t="n"/>
      <c r="G131" s="5" t="n"/>
      <c r="H131" s="5" t="n"/>
      <c r="I131" s="5" t="n"/>
      <c r="J131" s="6">
        <f>IF(G131="","",G131-C131-H131-I131)</f>
        <v/>
      </c>
      <c r="K131" s="7">
        <f>IF(E131="","",IF(F131="",TODAY(),F131)-E131)</f>
        <v/>
      </c>
      <c r="L131" s="8">
        <f>IF(F131&lt;&gt;"","Sold",IF(E131&lt;&gt;"","Online",IF(A131&lt;&gt;"","In stock","")))</f>
        <v/>
      </c>
    </row>
    <row r="132">
      <c r="A132" s="3" t="n"/>
      <c r="B132" s="4" t="n"/>
      <c r="C132" s="5" t="n"/>
      <c r="D132" s="3" t="n"/>
      <c r="E132" s="4" t="n"/>
      <c r="F132" s="4" t="n"/>
      <c r="G132" s="5" t="n"/>
      <c r="H132" s="5" t="n"/>
      <c r="I132" s="5" t="n"/>
      <c r="J132" s="6">
        <f>IF(G132="","",G132-C132-H132-I132)</f>
        <v/>
      </c>
      <c r="K132" s="7">
        <f>IF(E132="","",IF(F132="",TODAY(),F132)-E132)</f>
        <v/>
      </c>
      <c r="L132" s="8">
        <f>IF(F132&lt;&gt;"","Sold",IF(E132&lt;&gt;"","Online",IF(A132&lt;&gt;"","In stock","")))</f>
        <v/>
      </c>
    </row>
    <row r="133">
      <c r="A133" s="3" t="n"/>
      <c r="B133" s="4" t="n"/>
      <c r="C133" s="5" t="n"/>
      <c r="D133" s="3" t="n"/>
      <c r="E133" s="4" t="n"/>
      <c r="F133" s="4" t="n"/>
      <c r="G133" s="5" t="n"/>
      <c r="H133" s="5" t="n"/>
      <c r="I133" s="5" t="n"/>
      <c r="J133" s="6">
        <f>IF(G133="","",G133-C133-H133-I133)</f>
        <v/>
      </c>
      <c r="K133" s="7">
        <f>IF(E133="","",IF(F133="",TODAY(),F133)-E133)</f>
        <v/>
      </c>
      <c r="L133" s="8">
        <f>IF(F133&lt;&gt;"","Sold",IF(E133&lt;&gt;"","Online",IF(A133&lt;&gt;"","In stock","")))</f>
        <v/>
      </c>
    </row>
    <row r="134">
      <c r="A134" s="3" t="n"/>
      <c r="B134" s="4" t="n"/>
      <c r="C134" s="5" t="n"/>
      <c r="D134" s="3" t="n"/>
      <c r="E134" s="4" t="n"/>
      <c r="F134" s="4" t="n"/>
      <c r="G134" s="5" t="n"/>
      <c r="H134" s="5" t="n"/>
      <c r="I134" s="5" t="n"/>
      <c r="J134" s="6">
        <f>IF(G134="","",G134-C134-H134-I134)</f>
        <v/>
      </c>
      <c r="K134" s="7">
        <f>IF(E134="","",IF(F134="",TODAY(),F134)-E134)</f>
        <v/>
      </c>
      <c r="L134" s="8">
        <f>IF(F134&lt;&gt;"","Sold",IF(E134&lt;&gt;"","Online",IF(A134&lt;&gt;"","In stock","")))</f>
        <v/>
      </c>
    </row>
    <row r="135">
      <c r="A135" s="3" t="n"/>
      <c r="B135" s="4" t="n"/>
      <c r="C135" s="5" t="n"/>
      <c r="D135" s="3" t="n"/>
      <c r="E135" s="4" t="n"/>
      <c r="F135" s="4" t="n"/>
      <c r="G135" s="5" t="n"/>
      <c r="H135" s="5" t="n"/>
      <c r="I135" s="5" t="n"/>
      <c r="J135" s="6">
        <f>IF(G135="","",G135-C135-H135-I135)</f>
        <v/>
      </c>
      <c r="K135" s="7">
        <f>IF(E135="","",IF(F135="",TODAY(),F135)-E135)</f>
        <v/>
      </c>
      <c r="L135" s="8">
        <f>IF(F135&lt;&gt;"","Sold",IF(E135&lt;&gt;"","Online",IF(A135&lt;&gt;"","In stock","")))</f>
        <v/>
      </c>
    </row>
    <row r="136">
      <c r="A136" s="3" t="n"/>
      <c r="B136" s="4" t="n"/>
      <c r="C136" s="5" t="n"/>
      <c r="D136" s="3" t="n"/>
      <c r="E136" s="4" t="n"/>
      <c r="F136" s="4" t="n"/>
      <c r="G136" s="5" t="n"/>
      <c r="H136" s="5" t="n"/>
      <c r="I136" s="5" t="n"/>
      <c r="J136" s="6">
        <f>IF(G136="","",G136-C136-H136-I136)</f>
        <v/>
      </c>
      <c r="K136" s="7">
        <f>IF(E136="","",IF(F136="",TODAY(),F136)-E136)</f>
        <v/>
      </c>
      <c r="L136" s="8">
        <f>IF(F136&lt;&gt;"","Sold",IF(E136&lt;&gt;"","Online",IF(A136&lt;&gt;"","In stock","")))</f>
        <v/>
      </c>
    </row>
    <row r="137">
      <c r="A137" s="3" t="n"/>
      <c r="B137" s="4" t="n"/>
      <c r="C137" s="5" t="n"/>
      <c r="D137" s="3" t="n"/>
      <c r="E137" s="4" t="n"/>
      <c r="F137" s="4" t="n"/>
      <c r="G137" s="5" t="n"/>
      <c r="H137" s="5" t="n"/>
      <c r="I137" s="5" t="n"/>
      <c r="J137" s="6">
        <f>IF(G137="","",G137-C137-H137-I137)</f>
        <v/>
      </c>
      <c r="K137" s="7">
        <f>IF(E137="","",IF(F137="",TODAY(),F137)-E137)</f>
        <v/>
      </c>
      <c r="L137" s="8">
        <f>IF(F137&lt;&gt;"","Sold",IF(E137&lt;&gt;"","Online",IF(A137&lt;&gt;"","In stock","")))</f>
        <v/>
      </c>
    </row>
    <row r="138">
      <c r="A138" s="3" t="n"/>
      <c r="B138" s="4" t="n"/>
      <c r="C138" s="5" t="n"/>
      <c r="D138" s="3" t="n"/>
      <c r="E138" s="4" t="n"/>
      <c r="F138" s="4" t="n"/>
      <c r="G138" s="5" t="n"/>
      <c r="H138" s="5" t="n"/>
      <c r="I138" s="5" t="n"/>
      <c r="J138" s="6">
        <f>IF(G138="","",G138-C138-H138-I138)</f>
        <v/>
      </c>
      <c r="K138" s="7">
        <f>IF(E138="","",IF(F138="",TODAY(),F138)-E138)</f>
        <v/>
      </c>
      <c r="L138" s="8">
        <f>IF(F138&lt;&gt;"","Sold",IF(E138&lt;&gt;"","Online",IF(A138&lt;&gt;"","In stock","")))</f>
        <v/>
      </c>
    </row>
    <row r="139">
      <c r="A139" s="3" t="n"/>
      <c r="B139" s="4" t="n"/>
      <c r="C139" s="5" t="n"/>
      <c r="D139" s="3" t="n"/>
      <c r="E139" s="4" t="n"/>
      <c r="F139" s="4" t="n"/>
      <c r="G139" s="5" t="n"/>
      <c r="H139" s="5" t="n"/>
      <c r="I139" s="5" t="n"/>
      <c r="J139" s="6">
        <f>IF(G139="","",G139-C139-H139-I139)</f>
        <v/>
      </c>
      <c r="K139" s="7">
        <f>IF(E139="","",IF(F139="",TODAY(),F139)-E139)</f>
        <v/>
      </c>
      <c r="L139" s="8">
        <f>IF(F139&lt;&gt;"","Sold",IF(E139&lt;&gt;"","Online",IF(A139&lt;&gt;"","In stock","")))</f>
        <v/>
      </c>
    </row>
    <row r="140">
      <c r="A140" s="3" t="n"/>
      <c r="B140" s="4" t="n"/>
      <c r="C140" s="5" t="n"/>
      <c r="D140" s="3" t="n"/>
      <c r="E140" s="4" t="n"/>
      <c r="F140" s="4" t="n"/>
      <c r="G140" s="5" t="n"/>
      <c r="H140" s="5" t="n"/>
      <c r="I140" s="5" t="n"/>
      <c r="J140" s="6">
        <f>IF(G140="","",G140-C140-H140-I140)</f>
        <v/>
      </c>
      <c r="K140" s="7">
        <f>IF(E140="","",IF(F140="",TODAY(),F140)-E140)</f>
        <v/>
      </c>
      <c r="L140" s="8">
        <f>IF(F140&lt;&gt;"","Sold",IF(E140&lt;&gt;"","Online",IF(A140&lt;&gt;"","In stock","")))</f>
        <v/>
      </c>
    </row>
    <row r="141">
      <c r="A141" s="3" t="n"/>
      <c r="B141" s="4" t="n"/>
      <c r="C141" s="5" t="n"/>
      <c r="D141" s="3" t="n"/>
      <c r="E141" s="4" t="n"/>
      <c r="F141" s="4" t="n"/>
      <c r="G141" s="5" t="n"/>
      <c r="H141" s="5" t="n"/>
      <c r="I141" s="5" t="n"/>
      <c r="J141" s="6">
        <f>IF(G141="","",G141-C141-H141-I141)</f>
        <v/>
      </c>
      <c r="K141" s="7">
        <f>IF(E141="","",IF(F141="",TODAY(),F141)-E141)</f>
        <v/>
      </c>
      <c r="L141" s="8">
        <f>IF(F141&lt;&gt;"","Sold",IF(E141&lt;&gt;"","Online",IF(A141&lt;&gt;"","In stock","")))</f>
        <v/>
      </c>
    </row>
    <row r="142">
      <c r="A142" s="3" t="n"/>
      <c r="B142" s="4" t="n"/>
      <c r="C142" s="5" t="n"/>
      <c r="D142" s="3" t="n"/>
      <c r="E142" s="4" t="n"/>
      <c r="F142" s="4" t="n"/>
      <c r="G142" s="5" t="n"/>
      <c r="H142" s="5" t="n"/>
      <c r="I142" s="5" t="n"/>
      <c r="J142" s="6">
        <f>IF(G142="","",G142-C142-H142-I142)</f>
        <v/>
      </c>
      <c r="K142" s="7">
        <f>IF(E142="","",IF(F142="",TODAY(),F142)-E142)</f>
        <v/>
      </c>
      <c r="L142" s="8">
        <f>IF(F142&lt;&gt;"","Sold",IF(E142&lt;&gt;"","Online",IF(A142&lt;&gt;"","In stock","")))</f>
        <v/>
      </c>
    </row>
    <row r="143">
      <c r="A143" s="3" t="n"/>
      <c r="B143" s="4" t="n"/>
      <c r="C143" s="5" t="n"/>
      <c r="D143" s="3" t="n"/>
      <c r="E143" s="4" t="n"/>
      <c r="F143" s="4" t="n"/>
      <c r="G143" s="5" t="n"/>
      <c r="H143" s="5" t="n"/>
      <c r="I143" s="5" t="n"/>
      <c r="J143" s="6">
        <f>IF(G143="","",G143-C143-H143-I143)</f>
        <v/>
      </c>
      <c r="K143" s="7">
        <f>IF(E143="","",IF(F143="",TODAY(),F143)-E143)</f>
        <v/>
      </c>
      <c r="L143" s="8">
        <f>IF(F143&lt;&gt;"","Sold",IF(E143&lt;&gt;"","Online",IF(A143&lt;&gt;"","In stock","")))</f>
        <v/>
      </c>
    </row>
    <row r="144">
      <c r="A144" s="3" t="n"/>
      <c r="B144" s="4" t="n"/>
      <c r="C144" s="5" t="n"/>
      <c r="D144" s="3" t="n"/>
      <c r="E144" s="4" t="n"/>
      <c r="F144" s="4" t="n"/>
      <c r="G144" s="5" t="n"/>
      <c r="H144" s="5" t="n"/>
      <c r="I144" s="5" t="n"/>
      <c r="J144" s="6">
        <f>IF(G144="","",G144-C144-H144-I144)</f>
        <v/>
      </c>
      <c r="K144" s="7">
        <f>IF(E144="","",IF(F144="",TODAY(),F144)-E144)</f>
        <v/>
      </c>
      <c r="L144" s="8">
        <f>IF(F144&lt;&gt;"","Sold",IF(E144&lt;&gt;"","Online",IF(A144&lt;&gt;"","In stock","")))</f>
        <v/>
      </c>
    </row>
    <row r="145">
      <c r="A145" s="3" t="n"/>
      <c r="B145" s="4" t="n"/>
      <c r="C145" s="5" t="n"/>
      <c r="D145" s="3" t="n"/>
      <c r="E145" s="4" t="n"/>
      <c r="F145" s="4" t="n"/>
      <c r="G145" s="5" t="n"/>
      <c r="H145" s="5" t="n"/>
      <c r="I145" s="5" t="n"/>
      <c r="J145" s="6">
        <f>IF(G145="","",G145-C145-H145-I145)</f>
        <v/>
      </c>
      <c r="K145" s="7">
        <f>IF(E145="","",IF(F145="",TODAY(),F145)-E145)</f>
        <v/>
      </c>
      <c r="L145" s="8">
        <f>IF(F145&lt;&gt;"","Sold",IF(E145&lt;&gt;"","Online",IF(A145&lt;&gt;"","In stock","")))</f>
        <v/>
      </c>
    </row>
    <row r="146">
      <c r="A146" s="3" t="n"/>
      <c r="B146" s="4" t="n"/>
      <c r="C146" s="5" t="n"/>
      <c r="D146" s="3" t="n"/>
      <c r="E146" s="4" t="n"/>
      <c r="F146" s="4" t="n"/>
      <c r="G146" s="5" t="n"/>
      <c r="H146" s="5" t="n"/>
      <c r="I146" s="5" t="n"/>
      <c r="J146" s="6">
        <f>IF(G146="","",G146-C146-H146-I146)</f>
        <v/>
      </c>
      <c r="K146" s="7">
        <f>IF(E146="","",IF(F146="",TODAY(),F146)-E146)</f>
        <v/>
      </c>
      <c r="L146" s="8">
        <f>IF(F146&lt;&gt;"","Sold",IF(E146&lt;&gt;"","Online",IF(A146&lt;&gt;"","In stock","")))</f>
        <v/>
      </c>
    </row>
    <row r="147">
      <c r="A147" s="3" t="n"/>
      <c r="B147" s="4" t="n"/>
      <c r="C147" s="5" t="n"/>
      <c r="D147" s="3" t="n"/>
      <c r="E147" s="4" t="n"/>
      <c r="F147" s="4" t="n"/>
      <c r="G147" s="5" t="n"/>
      <c r="H147" s="5" t="n"/>
      <c r="I147" s="5" t="n"/>
      <c r="J147" s="6">
        <f>IF(G147="","",G147-C147-H147-I147)</f>
        <v/>
      </c>
      <c r="K147" s="7">
        <f>IF(E147="","",IF(F147="",TODAY(),F147)-E147)</f>
        <v/>
      </c>
      <c r="L147" s="8">
        <f>IF(F147&lt;&gt;"","Sold",IF(E147&lt;&gt;"","Online",IF(A147&lt;&gt;"","In stock","")))</f>
        <v/>
      </c>
    </row>
    <row r="148">
      <c r="A148" s="3" t="n"/>
      <c r="B148" s="4" t="n"/>
      <c r="C148" s="5" t="n"/>
      <c r="D148" s="3" t="n"/>
      <c r="E148" s="4" t="n"/>
      <c r="F148" s="4" t="n"/>
      <c r="G148" s="5" t="n"/>
      <c r="H148" s="5" t="n"/>
      <c r="I148" s="5" t="n"/>
      <c r="J148" s="6">
        <f>IF(G148="","",G148-C148-H148-I148)</f>
        <v/>
      </c>
      <c r="K148" s="7">
        <f>IF(E148="","",IF(F148="",TODAY(),F148)-E148)</f>
        <v/>
      </c>
      <c r="L148" s="8">
        <f>IF(F148&lt;&gt;"","Sold",IF(E148&lt;&gt;"","Online",IF(A148&lt;&gt;"","In stock","")))</f>
        <v/>
      </c>
    </row>
    <row r="149">
      <c r="A149" s="3" t="n"/>
      <c r="B149" s="4" t="n"/>
      <c r="C149" s="5" t="n"/>
      <c r="D149" s="3" t="n"/>
      <c r="E149" s="4" t="n"/>
      <c r="F149" s="4" t="n"/>
      <c r="G149" s="5" t="n"/>
      <c r="H149" s="5" t="n"/>
      <c r="I149" s="5" t="n"/>
      <c r="J149" s="6">
        <f>IF(G149="","",G149-C149-H149-I149)</f>
        <v/>
      </c>
      <c r="K149" s="7">
        <f>IF(E149="","",IF(F149="",TODAY(),F149)-E149)</f>
        <v/>
      </c>
      <c r="L149" s="8">
        <f>IF(F149&lt;&gt;"","Sold",IF(E149&lt;&gt;"","Online",IF(A149&lt;&gt;"","In stock","")))</f>
        <v/>
      </c>
    </row>
    <row r="150">
      <c r="A150" s="3" t="n"/>
      <c r="B150" s="4" t="n"/>
      <c r="C150" s="5" t="n"/>
      <c r="D150" s="3" t="n"/>
      <c r="E150" s="4" t="n"/>
      <c r="F150" s="4" t="n"/>
      <c r="G150" s="5" t="n"/>
      <c r="H150" s="5" t="n"/>
      <c r="I150" s="5" t="n"/>
      <c r="J150" s="6">
        <f>IF(G150="","",G150-C150-H150-I150)</f>
        <v/>
      </c>
      <c r="K150" s="7">
        <f>IF(E150="","",IF(F150="",TODAY(),F150)-E150)</f>
        <v/>
      </c>
      <c r="L150" s="8">
        <f>IF(F150&lt;&gt;"","Sold",IF(E150&lt;&gt;"","Online",IF(A150&lt;&gt;"","In stock","")))</f>
        <v/>
      </c>
    </row>
    <row r="151">
      <c r="A151" s="3" t="n"/>
      <c r="B151" s="4" t="n"/>
      <c r="C151" s="5" t="n"/>
      <c r="D151" s="3" t="n"/>
      <c r="E151" s="4" t="n"/>
      <c r="F151" s="4" t="n"/>
      <c r="G151" s="5" t="n"/>
      <c r="H151" s="5" t="n"/>
      <c r="I151" s="5" t="n"/>
      <c r="J151" s="6">
        <f>IF(G151="","",G151-C151-H151-I151)</f>
        <v/>
      </c>
      <c r="K151" s="7">
        <f>IF(E151="","",IF(F151="",TODAY(),F151)-E151)</f>
        <v/>
      </c>
      <c r="L151" s="8">
        <f>IF(F151&lt;&gt;"","Sold",IF(E151&lt;&gt;"","Online",IF(A151&lt;&gt;"","In stock","")))</f>
        <v/>
      </c>
    </row>
    <row r="152">
      <c r="A152" s="3" t="n"/>
      <c r="B152" s="4" t="n"/>
      <c r="C152" s="5" t="n"/>
      <c r="D152" s="3" t="n"/>
      <c r="E152" s="4" t="n"/>
      <c r="F152" s="4" t="n"/>
      <c r="G152" s="5" t="n"/>
      <c r="H152" s="5" t="n"/>
      <c r="I152" s="5" t="n"/>
      <c r="J152" s="6">
        <f>IF(G152="","",G152-C152-H152-I152)</f>
        <v/>
      </c>
      <c r="K152" s="7">
        <f>IF(E152="","",IF(F152="",TODAY(),F152)-E152)</f>
        <v/>
      </c>
      <c r="L152" s="8">
        <f>IF(F152&lt;&gt;"","Sold",IF(E152&lt;&gt;"","Online",IF(A152&lt;&gt;"","In stock","")))</f>
        <v/>
      </c>
    </row>
    <row r="153">
      <c r="A153" s="3" t="n"/>
      <c r="B153" s="4" t="n"/>
      <c r="C153" s="5" t="n"/>
      <c r="D153" s="3" t="n"/>
      <c r="E153" s="4" t="n"/>
      <c r="F153" s="4" t="n"/>
      <c r="G153" s="5" t="n"/>
      <c r="H153" s="5" t="n"/>
      <c r="I153" s="5" t="n"/>
      <c r="J153" s="6">
        <f>IF(G153="","",G153-C153-H153-I153)</f>
        <v/>
      </c>
      <c r="K153" s="7">
        <f>IF(E153="","",IF(F153="",TODAY(),F153)-E153)</f>
        <v/>
      </c>
      <c r="L153" s="8">
        <f>IF(F153&lt;&gt;"","Sold",IF(E153&lt;&gt;"","Online",IF(A153&lt;&gt;"","In stock","")))</f>
        <v/>
      </c>
    </row>
    <row r="154">
      <c r="A154" s="3" t="n"/>
      <c r="B154" s="4" t="n"/>
      <c r="C154" s="5" t="n"/>
      <c r="D154" s="3" t="n"/>
      <c r="E154" s="4" t="n"/>
      <c r="F154" s="4" t="n"/>
      <c r="G154" s="5" t="n"/>
      <c r="H154" s="5" t="n"/>
      <c r="I154" s="5" t="n"/>
      <c r="J154" s="6">
        <f>IF(G154="","",G154-C154-H154-I154)</f>
        <v/>
      </c>
      <c r="K154" s="7">
        <f>IF(E154="","",IF(F154="",TODAY(),F154)-E154)</f>
        <v/>
      </c>
      <c r="L154" s="8">
        <f>IF(F154&lt;&gt;"","Sold",IF(E154&lt;&gt;"","Online",IF(A154&lt;&gt;"","In stock","")))</f>
        <v/>
      </c>
    </row>
    <row r="155">
      <c r="A155" s="3" t="n"/>
      <c r="B155" s="4" t="n"/>
      <c r="C155" s="5" t="n"/>
      <c r="D155" s="3" t="n"/>
      <c r="E155" s="4" t="n"/>
      <c r="F155" s="4" t="n"/>
      <c r="G155" s="5" t="n"/>
      <c r="H155" s="5" t="n"/>
      <c r="I155" s="5" t="n"/>
      <c r="J155" s="6">
        <f>IF(G155="","",G155-C155-H155-I155)</f>
        <v/>
      </c>
      <c r="K155" s="7">
        <f>IF(E155="","",IF(F155="",TODAY(),F155)-E155)</f>
        <v/>
      </c>
      <c r="L155" s="8">
        <f>IF(F155&lt;&gt;"","Sold",IF(E155&lt;&gt;"","Online",IF(A155&lt;&gt;"","In stock","")))</f>
        <v/>
      </c>
    </row>
    <row r="156">
      <c r="A156" s="3" t="n"/>
      <c r="B156" s="4" t="n"/>
      <c r="C156" s="5" t="n"/>
      <c r="D156" s="3" t="n"/>
      <c r="E156" s="4" t="n"/>
      <c r="F156" s="4" t="n"/>
      <c r="G156" s="5" t="n"/>
      <c r="H156" s="5" t="n"/>
      <c r="I156" s="5" t="n"/>
      <c r="J156" s="6">
        <f>IF(G156="","",G156-C156-H156-I156)</f>
        <v/>
      </c>
      <c r="K156" s="7">
        <f>IF(E156="","",IF(F156="",TODAY(),F156)-E156)</f>
        <v/>
      </c>
      <c r="L156" s="8">
        <f>IF(F156&lt;&gt;"","Sold",IF(E156&lt;&gt;"","Online",IF(A156&lt;&gt;"","In stock","")))</f>
        <v/>
      </c>
    </row>
    <row r="157">
      <c r="A157" s="3" t="n"/>
      <c r="B157" s="4" t="n"/>
      <c r="C157" s="5" t="n"/>
      <c r="D157" s="3" t="n"/>
      <c r="E157" s="4" t="n"/>
      <c r="F157" s="4" t="n"/>
      <c r="G157" s="5" t="n"/>
      <c r="H157" s="5" t="n"/>
      <c r="I157" s="5" t="n"/>
      <c r="J157" s="6">
        <f>IF(G157="","",G157-C157-H157-I157)</f>
        <v/>
      </c>
      <c r="K157" s="7">
        <f>IF(E157="","",IF(F157="",TODAY(),F157)-E157)</f>
        <v/>
      </c>
      <c r="L157" s="8">
        <f>IF(F157&lt;&gt;"","Sold",IF(E157&lt;&gt;"","Online",IF(A157&lt;&gt;"","In stock","")))</f>
        <v/>
      </c>
    </row>
    <row r="158">
      <c r="A158" s="3" t="n"/>
      <c r="B158" s="4" t="n"/>
      <c r="C158" s="5" t="n"/>
      <c r="D158" s="3" t="n"/>
      <c r="E158" s="4" t="n"/>
      <c r="F158" s="4" t="n"/>
      <c r="G158" s="5" t="n"/>
      <c r="H158" s="5" t="n"/>
      <c r="I158" s="5" t="n"/>
      <c r="J158" s="6">
        <f>IF(G158="","",G158-C158-H158-I158)</f>
        <v/>
      </c>
      <c r="K158" s="7">
        <f>IF(E158="","",IF(F158="",TODAY(),F158)-E158)</f>
        <v/>
      </c>
      <c r="L158" s="8">
        <f>IF(F158&lt;&gt;"","Sold",IF(E158&lt;&gt;"","Online",IF(A158&lt;&gt;"","In stock","")))</f>
        <v/>
      </c>
    </row>
    <row r="159">
      <c r="A159" s="3" t="n"/>
      <c r="B159" s="4" t="n"/>
      <c r="C159" s="5" t="n"/>
      <c r="D159" s="3" t="n"/>
      <c r="E159" s="4" t="n"/>
      <c r="F159" s="4" t="n"/>
      <c r="G159" s="5" t="n"/>
      <c r="H159" s="5" t="n"/>
      <c r="I159" s="5" t="n"/>
      <c r="J159" s="6">
        <f>IF(G159="","",G159-C159-H159-I159)</f>
        <v/>
      </c>
      <c r="K159" s="7">
        <f>IF(E159="","",IF(F159="",TODAY(),F159)-E159)</f>
        <v/>
      </c>
      <c r="L159" s="8">
        <f>IF(F159&lt;&gt;"","Sold",IF(E159&lt;&gt;"","Online",IF(A159&lt;&gt;"","In stock","")))</f>
        <v/>
      </c>
    </row>
    <row r="160">
      <c r="A160" s="3" t="n"/>
      <c r="B160" s="4" t="n"/>
      <c r="C160" s="5" t="n"/>
      <c r="D160" s="3" t="n"/>
      <c r="E160" s="4" t="n"/>
      <c r="F160" s="4" t="n"/>
      <c r="G160" s="5" t="n"/>
      <c r="H160" s="5" t="n"/>
      <c r="I160" s="5" t="n"/>
      <c r="J160" s="6">
        <f>IF(G160="","",G160-C160-H160-I160)</f>
        <v/>
      </c>
      <c r="K160" s="7">
        <f>IF(E160="","",IF(F160="",TODAY(),F160)-E160)</f>
        <v/>
      </c>
      <c r="L160" s="8">
        <f>IF(F160&lt;&gt;"","Sold",IF(E160&lt;&gt;"","Online",IF(A160&lt;&gt;"","In stock","")))</f>
        <v/>
      </c>
    </row>
    <row r="161">
      <c r="A161" s="3" t="n"/>
      <c r="B161" s="4" t="n"/>
      <c r="C161" s="5" t="n"/>
      <c r="D161" s="3" t="n"/>
      <c r="E161" s="4" t="n"/>
      <c r="F161" s="4" t="n"/>
      <c r="G161" s="5" t="n"/>
      <c r="H161" s="5" t="n"/>
      <c r="I161" s="5" t="n"/>
      <c r="J161" s="6">
        <f>IF(G161="","",G161-C161-H161-I161)</f>
        <v/>
      </c>
      <c r="K161" s="7">
        <f>IF(E161="","",IF(F161="",TODAY(),F161)-E161)</f>
        <v/>
      </c>
      <c r="L161" s="8">
        <f>IF(F161&lt;&gt;"","Sold",IF(E161&lt;&gt;"","Online",IF(A161&lt;&gt;"","In stock","")))</f>
        <v/>
      </c>
    </row>
    <row r="162">
      <c r="A162" s="3" t="n"/>
      <c r="B162" s="4" t="n"/>
      <c r="C162" s="5" t="n"/>
      <c r="D162" s="3" t="n"/>
      <c r="E162" s="4" t="n"/>
      <c r="F162" s="4" t="n"/>
      <c r="G162" s="5" t="n"/>
      <c r="H162" s="5" t="n"/>
      <c r="I162" s="5" t="n"/>
      <c r="J162" s="6">
        <f>IF(G162="","",G162-C162-H162-I162)</f>
        <v/>
      </c>
      <c r="K162" s="7">
        <f>IF(E162="","",IF(F162="",TODAY(),F162)-E162)</f>
        <v/>
      </c>
      <c r="L162" s="8">
        <f>IF(F162&lt;&gt;"","Sold",IF(E162&lt;&gt;"","Online",IF(A162&lt;&gt;"","In stock","")))</f>
        <v/>
      </c>
    </row>
    <row r="163">
      <c r="A163" s="3" t="n"/>
      <c r="B163" s="4" t="n"/>
      <c r="C163" s="5" t="n"/>
      <c r="D163" s="3" t="n"/>
      <c r="E163" s="4" t="n"/>
      <c r="F163" s="4" t="n"/>
      <c r="G163" s="5" t="n"/>
      <c r="H163" s="5" t="n"/>
      <c r="I163" s="5" t="n"/>
      <c r="J163" s="6">
        <f>IF(G163="","",G163-C163-H163-I163)</f>
        <v/>
      </c>
      <c r="K163" s="7">
        <f>IF(E163="","",IF(F163="",TODAY(),F163)-E163)</f>
        <v/>
      </c>
      <c r="L163" s="8">
        <f>IF(F163&lt;&gt;"","Sold",IF(E163&lt;&gt;"","Online",IF(A163&lt;&gt;"","In stock","")))</f>
        <v/>
      </c>
    </row>
    <row r="164">
      <c r="A164" s="3" t="n"/>
      <c r="B164" s="4" t="n"/>
      <c r="C164" s="5" t="n"/>
      <c r="D164" s="3" t="n"/>
      <c r="E164" s="4" t="n"/>
      <c r="F164" s="4" t="n"/>
      <c r="G164" s="5" t="n"/>
      <c r="H164" s="5" t="n"/>
      <c r="I164" s="5" t="n"/>
      <c r="J164" s="6">
        <f>IF(G164="","",G164-C164-H164-I164)</f>
        <v/>
      </c>
      <c r="K164" s="7">
        <f>IF(E164="","",IF(F164="",TODAY(),F164)-E164)</f>
        <v/>
      </c>
      <c r="L164" s="8">
        <f>IF(F164&lt;&gt;"","Sold",IF(E164&lt;&gt;"","Online",IF(A164&lt;&gt;"","In stock","")))</f>
        <v/>
      </c>
    </row>
    <row r="165">
      <c r="A165" s="3" t="n"/>
      <c r="B165" s="4" t="n"/>
      <c r="C165" s="5" t="n"/>
      <c r="D165" s="3" t="n"/>
      <c r="E165" s="4" t="n"/>
      <c r="F165" s="4" t="n"/>
      <c r="G165" s="5" t="n"/>
      <c r="H165" s="5" t="n"/>
      <c r="I165" s="5" t="n"/>
      <c r="J165" s="6">
        <f>IF(G165="","",G165-C165-H165-I165)</f>
        <v/>
      </c>
      <c r="K165" s="7">
        <f>IF(E165="","",IF(F165="",TODAY(),F165)-E165)</f>
        <v/>
      </c>
      <c r="L165" s="8">
        <f>IF(F165&lt;&gt;"","Sold",IF(E165&lt;&gt;"","Online",IF(A165&lt;&gt;"","In stock","")))</f>
        <v/>
      </c>
    </row>
    <row r="166">
      <c r="A166" s="3" t="n"/>
      <c r="B166" s="4" t="n"/>
      <c r="C166" s="5" t="n"/>
      <c r="D166" s="3" t="n"/>
      <c r="E166" s="4" t="n"/>
      <c r="F166" s="4" t="n"/>
      <c r="G166" s="5" t="n"/>
      <c r="H166" s="5" t="n"/>
      <c r="I166" s="5" t="n"/>
      <c r="J166" s="6">
        <f>IF(G166="","",G166-C166-H166-I166)</f>
        <v/>
      </c>
      <c r="K166" s="7">
        <f>IF(E166="","",IF(F166="",TODAY(),F166)-E166)</f>
        <v/>
      </c>
      <c r="L166" s="8">
        <f>IF(F166&lt;&gt;"","Sold",IF(E166&lt;&gt;"","Online",IF(A166&lt;&gt;"","In stock","")))</f>
        <v/>
      </c>
    </row>
    <row r="167">
      <c r="A167" s="3" t="n"/>
      <c r="B167" s="4" t="n"/>
      <c r="C167" s="5" t="n"/>
      <c r="D167" s="3" t="n"/>
      <c r="E167" s="4" t="n"/>
      <c r="F167" s="4" t="n"/>
      <c r="G167" s="5" t="n"/>
      <c r="H167" s="5" t="n"/>
      <c r="I167" s="5" t="n"/>
      <c r="J167" s="6">
        <f>IF(G167="","",G167-C167-H167-I167)</f>
        <v/>
      </c>
      <c r="K167" s="7">
        <f>IF(E167="","",IF(F167="",TODAY(),F167)-E167)</f>
        <v/>
      </c>
      <c r="L167" s="8">
        <f>IF(F167&lt;&gt;"","Sold",IF(E167&lt;&gt;"","Online",IF(A167&lt;&gt;"","In stock","")))</f>
        <v/>
      </c>
    </row>
    <row r="168">
      <c r="A168" s="3" t="n"/>
      <c r="B168" s="4" t="n"/>
      <c r="C168" s="5" t="n"/>
      <c r="D168" s="3" t="n"/>
      <c r="E168" s="4" t="n"/>
      <c r="F168" s="4" t="n"/>
      <c r="G168" s="5" t="n"/>
      <c r="H168" s="5" t="n"/>
      <c r="I168" s="5" t="n"/>
      <c r="J168" s="6">
        <f>IF(G168="","",G168-C168-H168-I168)</f>
        <v/>
      </c>
      <c r="K168" s="7">
        <f>IF(E168="","",IF(F168="",TODAY(),F168)-E168)</f>
        <v/>
      </c>
      <c r="L168" s="8">
        <f>IF(F168&lt;&gt;"","Sold",IF(E168&lt;&gt;"","Online",IF(A168&lt;&gt;"","In stock","")))</f>
        <v/>
      </c>
    </row>
    <row r="169">
      <c r="A169" s="3" t="n"/>
      <c r="B169" s="4" t="n"/>
      <c r="C169" s="5" t="n"/>
      <c r="D169" s="3" t="n"/>
      <c r="E169" s="4" t="n"/>
      <c r="F169" s="4" t="n"/>
      <c r="G169" s="5" t="n"/>
      <c r="H169" s="5" t="n"/>
      <c r="I169" s="5" t="n"/>
      <c r="J169" s="6">
        <f>IF(G169="","",G169-C169-H169-I169)</f>
        <v/>
      </c>
      <c r="K169" s="7">
        <f>IF(E169="","",IF(F169="",TODAY(),F169)-E169)</f>
        <v/>
      </c>
      <c r="L169" s="8">
        <f>IF(F169&lt;&gt;"","Sold",IF(E169&lt;&gt;"","Online",IF(A169&lt;&gt;"","In stock","")))</f>
        <v/>
      </c>
    </row>
    <row r="170">
      <c r="A170" s="3" t="n"/>
      <c r="B170" s="4" t="n"/>
      <c r="C170" s="5" t="n"/>
      <c r="D170" s="3" t="n"/>
      <c r="E170" s="4" t="n"/>
      <c r="F170" s="4" t="n"/>
      <c r="G170" s="5" t="n"/>
      <c r="H170" s="5" t="n"/>
      <c r="I170" s="5" t="n"/>
      <c r="J170" s="6">
        <f>IF(G170="","",G170-C170-H170-I170)</f>
        <v/>
      </c>
      <c r="K170" s="7">
        <f>IF(E170="","",IF(F170="",TODAY(),F170)-E170)</f>
        <v/>
      </c>
      <c r="L170" s="8">
        <f>IF(F170&lt;&gt;"","Sold",IF(E170&lt;&gt;"","Online",IF(A170&lt;&gt;"","In stock","")))</f>
        <v/>
      </c>
    </row>
    <row r="171">
      <c r="A171" s="3" t="n"/>
      <c r="B171" s="4" t="n"/>
      <c r="C171" s="5" t="n"/>
      <c r="D171" s="3" t="n"/>
      <c r="E171" s="4" t="n"/>
      <c r="F171" s="4" t="n"/>
      <c r="G171" s="5" t="n"/>
      <c r="H171" s="5" t="n"/>
      <c r="I171" s="5" t="n"/>
      <c r="J171" s="6">
        <f>IF(G171="","",G171-C171-H171-I171)</f>
        <v/>
      </c>
      <c r="K171" s="7">
        <f>IF(E171="","",IF(F171="",TODAY(),F171)-E171)</f>
        <v/>
      </c>
      <c r="L171" s="8">
        <f>IF(F171&lt;&gt;"","Sold",IF(E171&lt;&gt;"","Online",IF(A171&lt;&gt;"","In stock","")))</f>
        <v/>
      </c>
    </row>
    <row r="172">
      <c r="A172" s="3" t="n"/>
      <c r="B172" s="4" t="n"/>
      <c r="C172" s="5" t="n"/>
      <c r="D172" s="3" t="n"/>
      <c r="E172" s="4" t="n"/>
      <c r="F172" s="4" t="n"/>
      <c r="G172" s="5" t="n"/>
      <c r="H172" s="5" t="n"/>
      <c r="I172" s="5" t="n"/>
      <c r="J172" s="6">
        <f>IF(G172="","",G172-C172-H172-I172)</f>
        <v/>
      </c>
      <c r="K172" s="7">
        <f>IF(E172="","",IF(F172="",TODAY(),F172)-E172)</f>
        <v/>
      </c>
      <c r="L172" s="8">
        <f>IF(F172&lt;&gt;"","Sold",IF(E172&lt;&gt;"","Online",IF(A172&lt;&gt;"","In stock","")))</f>
        <v/>
      </c>
    </row>
    <row r="173">
      <c r="A173" s="3" t="n"/>
      <c r="B173" s="4" t="n"/>
      <c r="C173" s="5" t="n"/>
      <c r="D173" s="3" t="n"/>
      <c r="E173" s="4" t="n"/>
      <c r="F173" s="4" t="n"/>
      <c r="G173" s="5" t="n"/>
      <c r="H173" s="5" t="n"/>
      <c r="I173" s="5" t="n"/>
      <c r="J173" s="6">
        <f>IF(G173="","",G173-C173-H173-I173)</f>
        <v/>
      </c>
      <c r="K173" s="7">
        <f>IF(E173="","",IF(F173="",TODAY(),F173)-E173)</f>
        <v/>
      </c>
      <c r="L173" s="8">
        <f>IF(F173&lt;&gt;"","Sold",IF(E173&lt;&gt;"","Online",IF(A173&lt;&gt;"","In stock","")))</f>
        <v/>
      </c>
    </row>
    <row r="174">
      <c r="A174" s="3" t="n"/>
      <c r="B174" s="4" t="n"/>
      <c r="C174" s="5" t="n"/>
      <c r="D174" s="3" t="n"/>
      <c r="E174" s="4" t="n"/>
      <c r="F174" s="4" t="n"/>
      <c r="G174" s="5" t="n"/>
      <c r="H174" s="5" t="n"/>
      <c r="I174" s="5" t="n"/>
      <c r="J174" s="6">
        <f>IF(G174="","",G174-C174-H174-I174)</f>
        <v/>
      </c>
      <c r="K174" s="7">
        <f>IF(E174="","",IF(F174="",TODAY(),F174)-E174)</f>
        <v/>
      </c>
      <c r="L174" s="8">
        <f>IF(F174&lt;&gt;"","Sold",IF(E174&lt;&gt;"","Online",IF(A174&lt;&gt;"","In stock","")))</f>
        <v/>
      </c>
    </row>
    <row r="175">
      <c r="A175" s="3" t="n"/>
      <c r="B175" s="4" t="n"/>
      <c r="C175" s="5" t="n"/>
      <c r="D175" s="3" t="n"/>
      <c r="E175" s="4" t="n"/>
      <c r="F175" s="4" t="n"/>
      <c r="G175" s="5" t="n"/>
      <c r="H175" s="5" t="n"/>
      <c r="I175" s="5" t="n"/>
      <c r="J175" s="6">
        <f>IF(G175="","",G175-C175-H175-I175)</f>
        <v/>
      </c>
      <c r="K175" s="7">
        <f>IF(E175="","",IF(F175="",TODAY(),F175)-E175)</f>
        <v/>
      </c>
      <c r="L175" s="8">
        <f>IF(F175&lt;&gt;"","Sold",IF(E175&lt;&gt;"","Online",IF(A175&lt;&gt;"","In stock","")))</f>
        <v/>
      </c>
    </row>
    <row r="176">
      <c r="A176" s="3" t="n"/>
      <c r="B176" s="4" t="n"/>
      <c r="C176" s="5" t="n"/>
      <c r="D176" s="3" t="n"/>
      <c r="E176" s="4" t="n"/>
      <c r="F176" s="4" t="n"/>
      <c r="G176" s="5" t="n"/>
      <c r="H176" s="5" t="n"/>
      <c r="I176" s="5" t="n"/>
      <c r="J176" s="6">
        <f>IF(G176="","",G176-C176-H176-I176)</f>
        <v/>
      </c>
      <c r="K176" s="7">
        <f>IF(E176="","",IF(F176="",TODAY(),F176)-E176)</f>
        <v/>
      </c>
      <c r="L176" s="8">
        <f>IF(F176&lt;&gt;"","Sold",IF(E176&lt;&gt;"","Online",IF(A176&lt;&gt;"","In stock","")))</f>
        <v/>
      </c>
    </row>
    <row r="177">
      <c r="A177" s="3" t="n"/>
      <c r="B177" s="4" t="n"/>
      <c r="C177" s="5" t="n"/>
      <c r="D177" s="3" t="n"/>
      <c r="E177" s="4" t="n"/>
      <c r="F177" s="4" t="n"/>
      <c r="G177" s="5" t="n"/>
      <c r="H177" s="5" t="n"/>
      <c r="I177" s="5" t="n"/>
      <c r="J177" s="6">
        <f>IF(G177="","",G177-C177-H177-I177)</f>
        <v/>
      </c>
      <c r="K177" s="7">
        <f>IF(E177="","",IF(F177="",TODAY(),F177)-E177)</f>
        <v/>
      </c>
      <c r="L177" s="8">
        <f>IF(F177&lt;&gt;"","Sold",IF(E177&lt;&gt;"","Online",IF(A177&lt;&gt;"","In stock","")))</f>
        <v/>
      </c>
    </row>
    <row r="178">
      <c r="A178" s="3" t="n"/>
      <c r="B178" s="4" t="n"/>
      <c r="C178" s="5" t="n"/>
      <c r="D178" s="3" t="n"/>
      <c r="E178" s="4" t="n"/>
      <c r="F178" s="4" t="n"/>
      <c r="G178" s="5" t="n"/>
      <c r="H178" s="5" t="n"/>
      <c r="I178" s="5" t="n"/>
      <c r="J178" s="6">
        <f>IF(G178="","",G178-C178-H178-I178)</f>
        <v/>
      </c>
      <c r="K178" s="7">
        <f>IF(E178="","",IF(F178="",TODAY(),F178)-E178)</f>
        <v/>
      </c>
      <c r="L178" s="8">
        <f>IF(F178&lt;&gt;"","Sold",IF(E178&lt;&gt;"","Online",IF(A178&lt;&gt;"","In stock","")))</f>
        <v/>
      </c>
    </row>
    <row r="179">
      <c r="A179" s="3" t="n"/>
      <c r="B179" s="4" t="n"/>
      <c r="C179" s="5" t="n"/>
      <c r="D179" s="3" t="n"/>
      <c r="E179" s="4" t="n"/>
      <c r="F179" s="4" t="n"/>
      <c r="G179" s="5" t="n"/>
      <c r="H179" s="5" t="n"/>
      <c r="I179" s="5" t="n"/>
      <c r="J179" s="6">
        <f>IF(G179="","",G179-C179-H179-I179)</f>
        <v/>
      </c>
      <c r="K179" s="7">
        <f>IF(E179="","",IF(F179="",TODAY(),F179)-E179)</f>
        <v/>
      </c>
      <c r="L179" s="8">
        <f>IF(F179&lt;&gt;"","Sold",IF(E179&lt;&gt;"","Online",IF(A179&lt;&gt;"","In stock","")))</f>
        <v/>
      </c>
    </row>
    <row r="180">
      <c r="A180" s="3" t="n"/>
      <c r="B180" s="4" t="n"/>
      <c r="C180" s="5" t="n"/>
      <c r="D180" s="3" t="n"/>
      <c r="E180" s="4" t="n"/>
      <c r="F180" s="4" t="n"/>
      <c r="G180" s="5" t="n"/>
      <c r="H180" s="5" t="n"/>
      <c r="I180" s="5" t="n"/>
      <c r="J180" s="6">
        <f>IF(G180="","",G180-C180-H180-I180)</f>
        <v/>
      </c>
      <c r="K180" s="7">
        <f>IF(E180="","",IF(F180="",TODAY(),F180)-E180)</f>
        <v/>
      </c>
      <c r="L180" s="8">
        <f>IF(F180&lt;&gt;"","Sold",IF(E180&lt;&gt;"","Online",IF(A180&lt;&gt;"","In stock","")))</f>
        <v/>
      </c>
    </row>
    <row r="181">
      <c r="A181" s="3" t="n"/>
      <c r="B181" s="4" t="n"/>
      <c r="C181" s="5" t="n"/>
      <c r="D181" s="3" t="n"/>
      <c r="E181" s="4" t="n"/>
      <c r="F181" s="4" t="n"/>
      <c r="G181" s="5" t="n"/>
      <c r="H181" s="5" t="n"/>
      <c r="I181" s="5" t="n"/>
      <c r="J181" s="6">
        <f>IF(G181="","",G181-C181-H181-I181)</f>
        <v/>
      </c>
      <c r="K181" s="7">
        <f>IF(E181="","",IF(F181="",TODAY(),F181)-E181)</f>
        <v/>
      </c>
      <c r="L181" s="8">
        <f>IF(F181&lt;&gt;"","Sold",IF(E181&lt;&gt;"","Online",IF(A181&lt;&gt;"","In stock","")))</f>
        <v/>
      </c>
    </row>
    <row r="182">
      <c r="A182" s="3" t="n"/>
      <c r="B182" s="4" t="n"/>
      <c r="C182" s="5" t="n"/>
      <c r="D182" s="3" t="n"/>
      <c r="E182" s="4" t="n"/>
      <c r="F182" s="4" t="n"/>
      <c r="G182" s="5" t="n"/>
      <c r="H182" s="5" t="n"/>
      <c r="I182" s="5" t="n"/>
      <c r="J182" s="6">
        <f>IF(G182="","",G182-C182-H182-I182)</f>
        <v/>
      </c>
      <c r="K182" s="7">
        <f>IF(E182="","",IF(F182="",TODAY(),F182)-E182)</f>
        <v/>
      </c>
      <c r="L182" s="8">
        <f>IF(F182&lt;&gt;"","Sold",IF(E182&lt;&gt;"","Online",IF(A182&lt;&gt;"","In stock","")))</f>
        <v/>
      </c>
    </row>
    <row r="183">
      <c r="A183" s="3" t="n"/>
      <c r="B183" s="4" t="n"/>
      <c r="C183" s="5" t="n"/>
      <c r="D183" s="3" t="n"/>
      <c r="E183" s="4" t="n"/>
      <c r="F183" s="4" t="n"/>
      <c r="G183" s="5" t="n"/>
      <c r="H183" s="5" t="n"/>
      <c r="I183" s="5" t="n"/>
      <c r="J183" s="6">
        <f>IF(G183="","",G183-C183-H183-I183)</f>
        <v/>
      </c>
      <c r="K183" s="7">
        <f>IF(E183="","",IF(F183="",TODAY(),F183)-E183)</f>
        <v/>
      </c>
      <c r="L183" s="8">
        <f>IF(F183&lt;&gt;"","Sold",IF(E183&lt;&gt;"","Online",IF(A183&lt;&gt;"","In stock","")))</f>
        <v/>
      </c>
    </row>
    <row r="184">
      <c r="A184" s="3" t="n"/>
      <c r="B184" s="4" t="n"/>
      <c r="C184" s="5" t="n"/>
      <c r="D184" s="3" t="n"/>
      <c r="E184" s="4" t="n"/>
      <c r="F184" s="4" t="n"/>
      <c r="G184" s="5" t="n"/>
      <c r="H184" s="5" t="n"/>
      <c r="I184" s="5" t="n"/>
      <c r="J184" s="6">
        <f>IF(G184="","",G184-C184-H184-I184)</f>
        <v/>
      </c>
      <c r="K184" s="7">
        <f>IF(E184="","",IF(F184="",TODAY(),F184)-E184)</f>
        <v/>
      </c>
      <c r="L184" s="8">
        <f>IF(F184&lt;&gt;"","Sold",IF(E184&lt;&gt;"","Online",IF(A184&lt;&gt;"","In stock","")))</f>
        <v/>
      </c>
    </row>
    <row r="185">
      <c r="A185" s="3" t="n"/>
      <c r="B185" s="4" t="n"/>
      <c r="C185" s="5" t="n"/>
      <c r="D185" s="3" t="n"/>
      <c r="E185" s="4" t="n"/>
      <c r="F185" s="4" t="n"/>
      <c r="G185" s="5" t="n"/>
      <c r="H185" s="5" t="n"/>
      <c r="I185" s="5" t="n"/>
      <c r="J185" s="6">
        <f>IF(G185="","",G185-C185-H185-I185)</f>
        <v/>
      </c>
      <c r="K185" s="7">
        <f>IF(E185="","",IF(F185="",TODAY(),F185)-E185)</f>
        <v/>
      </c>
      <c r="L185" s="8">
        <f>IF(F185&lt;&gt;"","Sold",IF(E185&lt;&gt;"","Online",IF(A185&lt;&gt;"","In stock","")))</f>
        <v/>
      </c>
    </row>
    <row r="186">
      <c r="A186" s="3" t="n"/>
      <c r="B186" s="4" t="n"/>
      <c r="C186" s="5" t="n"/>
      <c r="D186" s="3" t="n"/>
      <c r="E186" s="4" t="n"/>
      <c r="F186" s="4" t="n"/>
      <c r="G186" s="5" t="n"/>
      <c r="H186" s="5" t="n"/>
      <c r="I186" s="5" t="n"/>
      <c r="J186" s="6">
        <f>IF(G186="","",G186-C186-H186-I186)</f>
        <v/>
      </c>
      <c r="K186" s="7">
        <f>IF(E186="","",IF(F186="",TODAY(),F186)-E186)</f>
        <v/>
      </c>
      <c r="L186" s="8">
        <f>IF(F186&lt;&gt;"","Sold",IF(E186&lt;&gt;"","Online",IF(A186&lt;&gt;"","In stock","")))</f>
        <v/>
      </c>
    </row>
    <row r="187">
      <c r="A187" s="3" t="n"/>
      <c r="B187" s="4" t="n"/>
      <c r="C187" s="5" t="n"/>
      <c r="D187" s="3" t="n"/>
      <c r="E187" s="4" t="n"/>
      <c r="F187" s="4" t="n"/>
      <c r="G187" s="5" t="n"/>
      <c r="H187" s="5" t="n"/>
      <c r="I187" s="5" t="n"/>
      <c r="J187" s="6">
        <f>IF(G187="","",G187-C187-H187-I187)</f>
        <v/>
      </c>
      <c r="K187" s="7">
        <f>IF(E187="","",IF(F187="",TODAY(),F187)-E187)</f>
        <v/>
      </c>
      <c r="L187" s="8">
        <f>IF(F187&lt;&gt;"","Sold",IF(E187&lt;&gt;"","Online",IF(A187&lt;&gt;"","In stock","")))</f>
        <v/>
      </c>
    </row>
    <row r="188">
      <c r="A188" s="3" t="n"/>
      <c r="B188" s="4" t="n"/>
      <c r="C188" s="5" t="n"/>
      <c r="D188" s="3" t="n"/>
      <c r="E188" s="4" t="n"/>
      <c r="F188" s="4" t="n"/>
      <c r="G188" s="5" t="n"/>
      <c r="H188" s="5" t="n"/>
      <c r="I188" s="5" t="n"/>
      <c r="J188" s="6">
        <f>IF(G188="","",G188-C188-H188-I188)</f>
        <v/>
      </c>
      <c r="K188" s="7">
        <f>IF(E188="","",IF(F188="",TODAY(),F188)-E188)</f>
        <v/>
      </c>
      <c r="L188" s="8">
        <f>IF(F188&lt;&gt;"","Sold",IF(E188&lt;&gt;"","Online",IF(A188&lt;&gt;"","In stock","")))</f>
        <v/>
      </c>
    </row>
    <row r="189">
      <c r="A189" s="3" t="n"/>
      <c r="B189" s="4" t="n"/>
      <c r="C189" s="5" t="n"/>
      <c r="D189" s="3" t="n"/>
      <c r="E189" s="4" t="n"/>
      <c r="F189" s="4" t="n"/>
      <c r="G189" s="5" t="n"/>
      <c r="H189" s="5" t="n"/>
      <c r="I189" s="5" t="n"/>
      <c r="J189" s="6">
        <f>IF(G189="","",G189-C189-H189-I189)</f>
        <v/>
      </c>
      <c r="K189" s="7">
        <f>IF(E189="","",IF(F189="",TODAY(),F189)-E189)</f>
        <v/>
      </c>
      <c r="L189" s="8">
        <f>IF(F189&lt;&gt;"","Sold",IF(E189&lt;&gt;"","Online",IF(A189&lt;&gt;"","In stock","")))</f>
        <v/>
      </c>
    </row>
    <row r="190">
      <c r="A190" s="3" t="n"/>
      <c r="B190" s="4" t="n"/>
      <c r="C190" s="5" t="n"/>
      <c r="D190" s="3" t="n"/>
      <c r="E190" s="4" t="n"/>
      <c r="F190" s="4" t="n"/>
      <c r="G190" s="5" t="n"/>
      <c r="H190" s="5" t="n"/>
      <c r="I190" s="5" t="n"/>
      <c r="J190" s="6">
        <f>IF(G190="","",G190-C190-H190-I190)</f>
        <v/>
      </c>
      <c r="K190" s="7">
        <f>IF(E190="","",IF(F190="",TODAY(),F190)-E190)</f>
        <v/>
      </c>
      <c r="L190" s="8">
        <f>IF(F190&lt;&gt;"","Sold",IF(E190&lt;&gt;"","Online",IF(A190&lt;&gt;"","In stock","")))</f>
        <v/>
      </c>
    </row>
    <row r="191">
      <c r="A191" s="3" t="n"/>
      <c r="B191" s="4" t="n"/>
      <c r="C191" s="5" t="n"/>
      <c r="D191" s="3" t="n"/>
      <c r="E191" s="4" t="n"/>
      <c r="F191" s="4" t="n"/>
      <c r="G191" s="5" t="n"/>
      <c r="H191" s="5" t="n"/>
      <c r="I191" s="5" t="n"/>
      <c r="J191" s="6">
        <f>IF(G191="","",G191-C191-H191-I191)</f>
        <v/>
      </c>
      <c r="K191" s="7">
        <f>IF(E191="","",IF(F191="",TODAY(),F191)-E191)</f>
        <v/>
      </c>
      <c r="L191" s="8">
        <f>IF(F191&lt;&gt;"","Sold",IF(E191&lt;&gt;"","Online",IF(A191&lt;&gt;"","In stock","")))</f>
        <v/>
      </c>
    </row>
    <row r="192">
      <c r="A192" s="3" t="n"/>
      <c r="B192" s="4" t="n"/>
      <c r="C192" s="5" t="n"/>
      <c r="D192" s="3" t="n"/>
      <c r="E192" s="4" t="n"/>
      <c r="F192" s="4" t="n"/>
      <c r="G192" s="5" t="n"/>
      <c r="H192" s="5" t="n"/>
      <c r="I192" s="5" t="n"/>
      <c r="J192" s="6">
        <f>IF(G192="","",G192-C192-H192-I192)</f>
        <v/>
      </c>
      <c r="K192" s="7">
        <f>IF(E192="","",IF(F192="",TODAY(),F192)-E192)</f>
        <v/>
      </c>
      <c r="L192" s="8">
        <f>IF(F192&lt;&gt;"","Sold",IF(E192&lt;&gt;"","Online",IF(A192&lt;&gt;"","In stock","")))</f>
        <v/>
      </c>
    </row>
    <row r="193">
      <c r="A193" s="3" t="n"/>
      <c r="B193" s="4" t="n"/>
      <c r="C193" s="5" t="n"/>
      <c r="D193" s="3" t="n"/>
      <c r="E193" s="4" t="n"/>
      <c r="F193" s="4" t="n"/>
      <c r="G193" s="5" t="n"/>
      <c r="H193" s="5" t="n"/>
      <c r="I193" s="5" t="n"/>
      <c r="J193" s="6">
        <f>IF(G193="","",G193-C193-H193-I193)</f>
        <v/>
      </c>
      <c r="K193" s="7">
        <f>IF(E193="","",IF(F193="",TODAY(),F193)-E193)</f>
        <v/>
      </c>
      <c r="L193" s="8">
        <f>IF(F193&lt;&gt;"","Sold",IF(E193&lt;&gt;"","Online",IF(A193&lt;&gt;"","In stock","")))</f>
        <v/>
      </c>
    </row>
    <row r="194">
      <c r="A194" s="3" t="n"/>
      <c r="B194" s="4" t="n"/>
      <c r="C194" s="5" t="n"/>
      <c r="D194" s="3" t="n"/>
      <c r="E194" s="4" t="n"/>
      <c r="F194" s="4" t="n"/>
      <c r="G194" s="5" t="n"/>
      <c r="H194" s="5" t="n"/>
      <c r="I194" s="5" t="n"/>
      <c r="J194" s="6">
        <f>IF(G194="","",G194-C194-H194-I194)</f>
        <v/>
      </c>
      <c r="K194" s="7">
        <f>IF(E194="","",IF(F194="",TODAY(),F194)-E194)</f>
        <v/>
      </c>
      <c r="L194" s="8">
        <f>IF(F194&lt;&gt;"","Sold",IF(E194&lt;&gt;"","Online",IF(A194&lt;&gt;"","In stock","")))</f>
        <v/>
      </c>
    </row>
    <row r="195">
      <c r="A195" s="3" t="n"/>
      <c r="B195" s="4" t="n"/>
      <c r="C195" s="5" t="n"/>
      <c r="D195" s="3" t="n"/>
      <c r="E195" s="4" t="n"/>
      <c r="F195" s="4" t="n"/>
      <c r="G195" s="5" t="n"/>
      <c r="H195" s="5" t="n"/>
      <c r="I195" s="5" t="n"/>
      <c r="J195" s="6">
        <f>IF(G195="","",G195-C195-H195-I195)</f>
        <v/>
      </c>
      <c r="K195" s="7">
        <f>IF(E195="","",IF(F195="",TODAY(),F195)-E195)</f>
        <v/>
      </c>
      <c r="L195" s="8">
        <f>IF(F195&lt;&gt;"","Sold",IF(E195&lt;&gt;"","Online",IF(A195&lt;&gt;"","In stock","")))</f>
        <v/>
      </c>
    </row>
    <row r="196">
      <c r="A196" s="3" t="n"/>
      <c r="B196" s="4" t="n"/>
      <c r="C196" s="5" t="n"/>
      <c r="D196" s="3" t="n"/>
      <c r="E196" s="4" t="n"/>
      <c r="F196" s="4" t="n"/>
      <c r="G196" s="5" t="n"/>
      <c r="H196" s="5" t="n"/>
      <c r="I196" s="5" t="n"/>
      <c r="J196" s="6">
        <f>IF(G196="","",G196-C196-H196-I196)</f>
        <v/>
      </c>
      <c r="K196" s="7">
        <f>IF(E196="","",IF(F196="",TODAY(),F196)-E196)</f>
        <v/>
      </c>
      <c r="L196" s="8">
        <f>IF(F196&lt;&gt;"","Sold",IF(E196&lt;&gt;"","Online",IF(A196&lt;&gt;"","In stock","")))</f>
        <v/>
      </c>
    </row>
    <row r="197">
      <c r="A197" s="3" t="n"/>
      <c r="B197" s="4" t="n"/>
      <c r="C197" s="5" t="n"/>
      <c r="D197" s="3" t="n"/>
      <c r="E197" s="4" t="n"/>
      <c r="F197" s="4" t="n"/>
      <c r="G197" s="5" t="n"/>
      <c r="H197" s="5" t="n"/>
      <c r="I197" s="5" t="n"/>
      <c r="J197" s="6">
        <f>IF(G197="","",G197-C197-H197-I197)</f>
        <v/>
      </c>
      <c r="K197" s="7">
        <f>IF(E197="","",IF(F197="",TODAY(),F197)-E197)</f>
        <v/>
      </c>
      <c r="L197" s="8">
        <f>IF(F197&lt;&gt;"","Sold",IF(E197&lt;&gt;"","Online",IF(A197&lt;&gt;"","In stock","")))</f>
        <v/>
      </c>
    </row>
    <row r="198">
      <c r="A198" s="3" t="n"/>
      <c r="B198" s="4" t="n"/>
      <c r="C198" s="5" t="n"/>
      <c r="D198" s="3" t="n"/>
      <c r="E198" s="4" t="n"/>
      <c r="F198" s="4" t="n"/>
      <c r="G198" s="5" t="n"/>
      <c r="H198" s="5" t="n"/>
      <c r="I198" s="5" t="n"/>
      <c r="J198" s="6">
        <f>IF(G198="","",G198-C198-H198-I198)</f>
        <v/>
      </c>
      <c r="K198" s="7">
        <f>IF(E198="","",IF(F198="",TODAY(),F198)-E198)</f>
        <v/>
      </c>
      <c r="L198" s="8">
        <f>IF(F198&lt;&gt;"","Sold",IF(E198&lt;&gt;"","Online",IF(A198&lt;&gt;"","In stock","")))</f>
        <v/>
      </c>
    </row>
    <row r="199">
      <c r="A199" s="3" t="n"/>
      <c r="B199" s="4" t="n"/>
      <c r="C199" s="5" t="n"/>
      <c r="D199" s="3" t="n"/>
      <c r="E199" s="4" t="n"/>
      <c r="F199" s="4" t="n"/>
      <c r="G199" s="5" t="n"/>
      <c r="H199" s="5" t="n"/>
      <c r="I199" s="5" t="n"/>
      <c r="J199" s="6">
        <f>IF(G199="","",G199-C199-H199-I199)</f>
        <v/>
      </c>
      <c r="K199" s="7">
        <f>IF(E199="","",IF(F199="",TODAY(),F199)-E199)</f>
        <v/>
      </c>
      <c r="L199" s="8">
        <f>IF(F199&lt;&gt;"","Sold",IF(E199&lt;&gt;"","Online",IF(A199&lt;&gt;"","In stock","")))</f>
        <v/>
      </c>
    </row>
    <row r="200">
      <c r="A200" s="3" t="n"/>
      <c r="B200" s="4" t="n"/>
      <c r="C200" s="5" t="n"/>
      <c r="D200" s="3" t="n"/>
      <c r="E200" s="4" t="n"/>
      <c r="F200" s="4" t="n"/>
      <c r="G200" s="5" t="n"/>
      <c r="H200" s="5" t="n"/>
      <c r="I200" s="5" t="n"/>
      <c r="J200" s="6">
        <f>IF(G200="","",G200-C200-H200-I200)</f>
        <v/>
      </c>
      <c r="K200" s="7">
        <f>IF(E200="","",IF(F200="",TODAY(),F200)-E200)</f>
        <v/>
      </c>
      <c r="L200" s="8">
        <f>IF(F200&lt;&gt;"","Sold",IF(E200&lt;&gt;"","Online",IF(A200&lt;&gt;"","In stock","")))</f>
        <v/>
      </c>
    </row>
    <row r="201">
      <c r="A201" s="3" t="n"/>
      <c r="B201" s="4" t="n"/>
      <c r="C201" s="5" t="n"/>
      <c r="D201" s="3" t="n"/>
      <c r="E201" s="4" t="n"/>
      <c r="F201" s="4" t="n"/>
      <c r="G201" s="5" t="n"/>
      <c r="H201" s="5" t="n"/>
      <c r="I201" s="5" t="n"/>
      <c r="J201" s="6">
        <f>IF(G201="","",G201-C201-H201-I201)</f>
        <v/>
      </c>
      <c r="K201" s="7">
        <f>IF(E201="","",IF(F201="",TODAY(),F201)-E201)</f>
        <v/>
      </c>
      <c r="L201" s="8">
        <f>IF(F201&lt;&gt;"","Sold",IF(E201&lt;&gt;"","Online",IF(A201&lt;&gt;"","In stock","")))</f>
        <v/>
      </c>
    </row>
    <row r="202">
      <c r="A202" s="3" t="n"/>
      <c r="B202" s="4" t="n"/>
      <c r="C202" s="5" t="n"/>
      <c r="D202" s="3" t="n"/>
      <c r="E202" s="4" t="n"/>
      <c r="F202" s="4" t="n"/>
      <c r="G202" s="5" t="n"/>
      <c r="H202" s="5" t="n"/>
      <c r="I202" s="5" t="n"/>
      <c r="J202" s="6">
        <f>IF(G202="","",G202-C202-H202-I202)</f>
        <v/>
      </c>
      <c r="K202" s="7">
        <f>IF(E202="","",IF(F202="",TODAY(),F202)-E202)</f>
        <v/>
      </c>
      <c r="L202" s="8">
        <f>IF(F202&lt;&gt;"","Sold",IF(E202&lt;&gt;"","Online",IF(A202&lt;&gt;"","In stock","")))</f>
        <v/>
      </c>
    </row>
    <row r="203">
      <c r="A203" s="3" t="n"/>
      <c r="B203" s="4" t="n"/>
      <c r="C203" s="5" t="n"/>
      <c r="D203" s="3" t="n"/>
      <c r="E203" s="4" t="n"/>
      <c r="F203" s="4" t="n"/>
      <c r="G203" s="5" t="n"/>
      <c r="H203" s="5" t="n"/>
      <c r="I203" s="5" t="n"/>
      <c r="J203" s="6">
        <f>IF(G203="","",G203-C203-H203-I203)</f>
        <v/>
      </c>
      <c r="K203" s="7">
        <f>IF(E203="","",IF(F203="",TODAY(),F203)-E203)</f>
        <v/>
      </c>
      <c r="L203" s="8">
        <f>IF(F203&lt;&gt;"","Sold",IF(E203&lt;&gt;"","Online",IF(A203&lt;&gt;"","In stock","")))</f>
        <v/>
      </c>
    </row>
    <row r="204">
      <c r="A204" s="3" t="n"/>
      <c r="B204" s="4" t="n"/>
      <c r="C204" s="5" t="n"/>
      <c r="D204" s="3" t="n"/>
      <c r="E204" s="4" t="n"/>
      <c r="F204" s="4" t="n"/>
      <c r="G204" s="5" t="n"/>
      <c r="H204" s="5" t="n"/>
      <c r="I204" s="5" t="n"/>
      <c r="J204" s="6">
        <f>IF(G204="","",G204-C204-H204-I204)</f>
        <v/>
      </c>
      <c r="K204" s="7">
        <f>IF(E204="","",IF(F204="",TODAY(),F204)-E204)</f>
        <v/>
      </c>
      <c r="L204" s="8">
        <f>IF(F204&lt;&gt;"","Sold",IF(E204&lt;&gt;"","Online",IF(A204&lt;&gt;"","In stock","")))</f>
        <v/>
      </c>
    </row>
    <row r="205">
      <c r="A205" s="3" t="n"/>
      <c r="B205" s="4" t="n"/>
      <c r="C205" s="5" t="n"/>
      <c r="D205" s="3" t="n"/>
      <c r="E205" s="4" t="n"/>
      <c r="F205" s="4" t="n"/>
      <c r="G205" s="5" t="n"/>
      <c r="H205" s="5" t="n"/>
      <c r="I205" s="5" t="n"/>
      <c r="J205" s="6">
        <f>IF(G205="","",G205-C205-H205-I205)</f>
        <v/>
      </c>
      <c r="K205" s="7">
        <f>IF(E205="","",IF(F205="",TODAY(),F205)-E205)</f>
        <v/>
      </c>
      <c r="L205" s="8">
        <f>IF(F205&lt;&gt;"","Sold",IF(E205&lt;&gt;"","Online",IF(A205&lt;&gt;"","In stock","")))</f>
        <v/>
      </c>
    </row>
    <row r="206">
      <c r="A206" s="3" t="n"/>
      <c r="B206" s="4" t="n"/>
      <c r="C206" s="5" t="n"/>
      <c r="D206" s="3" t="n"/>
      <c r="E206" s="4" t="n"/>
      <c r="F206" s="4" t="n"/>
      <c r="G206" s="5" t="n"/>
      <c r="H206" s="5" t="n"/>
      <c r="I206" s="5" t="n"/>
      <c r="J206" s="6">
        <f>IF(G206="","",G206-C206-H206-I206)</f>
        <v/>
      </c>
      <c r="K206" s="7">
        <f>IF(E206="","",IF(F206="",TODAY(),F206)-E206)</f>
        <v/>
      </c>
      <c r="L206" s="8">
        <f>IF(F206&lt;&gt;"","Sold",IF(E206&lt;&gt;"","Online",IF(A206&lt;&gt;"","In stock","")))</f>
        <v/>
      </c>
    </row>
    <row r="207">
      <c r="A207" s="3" t="n"/>
      <c r="B207" s="4" t="n"/>
      <c r="C207" s="5" t="n"/>
      <c r="D207" s="3" t="n"/>
      <c r="E207" s="4" t="n"/>
      <c r="F207" s="4" t="n"/>
      <c r="G207" s="5" t="n"/>
      <c r="H207" s="5" t="n"/>
      <c r="I207" s="5" t="n"/>
      <c r="J207" s="6">
        <f>IF(G207="","",G207-C207-H207-I207)</f>
        <v/>
      </c>
      <c r="K207" s="7">
        <f>IF(E207="","",IF(F207="",TODAY(),F207)-E207)</f>
        <v/>
      </c>
      <c r="L207" s="8">
        <f>IF(F207&lt;&gt;"","Sold",IF(E207&lt;&gt;"","Online",IF(A207&lt;&gt;"","In stock","")))</f>
        <v/>
      </c>
    </row>
    <row r="208">
      <c r="A208" s="3" t="n"/>
      <c r="B208" s="4" t="n"/>
      <c r="C208" s="5" t="n"/>
      <c r="D208" s="3" t="n"/>
      <c r="E208" s="4" t="n"/>
      <c r="F208" s="4" t="n"/>
      <c r="G208" s="5" t="n"/>
      <c r="H208" s="5" t="n"/>
      <c r="I208" s="5" t="n"/>
      <c r="J208" s="6">
        <f>IF(G208="","",G208-C208-H208-I208)</f>
        <v/>
      </c>
      <c r="K208" s="7">
        <f>IF(E208="","",IF(F208="",TODAY(),F208)-E208)</f>
        <v/>
      </c>
      <c r="L208" s="8">
        <f>IF(F208&lt;&gt;"","Sold",IF(E208&lt;&gt;"","Online",IF(A208&lt;&gt;"","In stock","")))</f>
        <v/>
      </c>
    </row>
    <row r="209">
      <c r="A209" s="3" t="n"/>
      <c r="B209" s="4" t="n"/>
      <c r="C209" s="5" t="n"/>
      <c r="D209" s="3" t="n"/>
      <c r="E209" s="4" t="n"/>
      <c r="F209" s="4" t="n"/>
      <c r="G209" s="5" t="n"/>
      <c r="H209" s="5" t="n"/>
      <c r="I209" s="5" t="n"/>
      <c r="J209" s="6">
        <f>IF(G209="","",G209-C209-H209-I209)</f>
        <v/>
      </c>
      <c r="K209" s="7">
        <f>IF(E209="","",IF(F209="",TODAY(),F209)-E209)</f>
        <v/>
      </c>
      <c r="L209" s="8">
        <f>IF(F209&lt;&gt;"","Sold",IF(E209&lt;&gt;"","Online",IF(A209&lt;&gt;"","In stock","")))</f>
        <v/>
      </c>
    </row>
    <row r="210">
      <c r="A210" s="3" t="n"/>
      <c r="B210" s="4" t="n"/>
      <c r="C210" s="5" t="n"/>
      <c r="D210" s="3" t="n"/>
      <c r="E210" s="4" t="n"/>
      <c r="F210" s="4" t="n"/>
      <c r="G210" s="5" t="n"/>
      <c r="H210" s="5" t="n"/>
      <c r="I210" s="5" t="n"/>
      <c r="J210" s="6">
        <f>IF(G210="","",G210-C210-H210-I210)</f>
        <v/>
      </c>
      <c r="K210" s="7">
        <f>IF(E210="","",IF(F210="",TODAY(),F210)-E210)</f>
        <v/>
      </c>
      <c r="L210" s="8">
        <f>IF(F210&lt;&gt;"","Sold",IF(E210&lt;&gt;"","Online",IF(A210&lt;&gt;"","In stock","")))</f>
        <v/>
      </c>
    </row>
    <row r="211">
      <c r="A211" s="3" t="n"/>
      <c r="B211" s="4" t="n"/>
      <c r="C211" s="5" t="n"/>
      <c r="D211" s="3" t="n"/>
      <c r="E211" s="4" t="n"/>
      <c r="F211" s="4" t="n"/>
      <c r="G211" s="5" t="n"/>
      <c r="H211" s="5" t="n"/>
      <c r="I211" s="5" t="n"/>
      <c r="J211" s="6">
        <f>IF(G211="","",G211-C211-H211-I211)</f>
        <v/>
      </c>
      <c r="K211" s="7">
        <f>IF(E211="","",IF(F211="",TODAY(),F211)-E211)</f>
        <v/>
      </c>
      <c r="L211" s="8">
        <f>IF(F211&lt;&gt;"","Sold",IF(E211&lt;&gt;"","Online",IF(A211&lt;&gt;"","In stock","")))</f>
        <v/>
      </c>
    </row>
    <row r="212">
      <c r="A212" s="3" t="n"/>
      <c r="B212" s="4" t="n"/>
      <c r="C212" s="5" t="n"/>
      <c r="D212" s="3" t="n"/>
      <c r="E212" s="4" t="n"/>
      <c r="F212" s="4" t="n"/>
      <c r="G212" s="5" t="n"/>
      <c r="H212" s="5" t="n"/>
      <c r="I212" s="5" t="n"/>
      <c r="J212" s="6">
        <f>IF(G212="","",G212-C212-H212-I212)</f>
        <v/>
      </c>
      <c r="K212" s="7">
        <f>IF(E212="","",IF(F212="",TODAY(),F212)-E212)</f>
        <v/>
      </c>
      <c r="L212" s="8">
        <f>IF(F212&lt;&gt;"","Sold",IF(E212&lt;&gt;"","Online",IF(A212&lt;&gt;"","In stock","")))</f>
        <v/>
      </c>
    </row>
    <row r="213">
      <c r="A213" s="3" t="n"/>
      <c r="B213" s="4" t="n"/>
      <c r="C213" s="5" t="n"/>
      <c r="D213" s="3" t="n"/>
      <c r="E213" s="4" t="n"/>
      <c r="F213" s="4" t="n"/>
      <c r="G213" s="5" t="n"/>
      <c r="H213" s="5" t="n"/>
      <c r="I213" s="5" t="n"/>
      <c r="J213" s="6">
        <f>IF(G213="","",G213-C213-H213-I213)</f>
        <v/>
      </c>
      <c r="K213" s="7">
        <f>IF(E213="","",IF(F213="",TODAY(),F213)-E213)</f>
        <v/>
      </c>
      <c r="L213" s="8">
        <f>IF(F213&lt;&gt;"","Sold",IF(E213&lt;&gt;"","Online",IF(A213&lt;&gt;"","In stock","")))</f>
        <v/>
      </c>
    </row>
    <row r="214">
      <c r="A214" s="3" t="n"/>
      <c r="B214" s="4" t="n"/>
      <c r="C214" s="5" t="n"/>
      <c r="D214" s="3" t="n"/>
      <c r="E214" s="4" t="n"/>
      <c r="F214" s="4" t="n"/>
      <c r="G214" s="5" t="n"/>
      <c r="H214" s="5" t="n"/>
      <c r="I214" s="5" t="n"/>
      <c r="J214" s="6">
        <f>IF(G214="","",G214-C214-H214-I214)</f>
        <v/>
      </c>
      <c r="K214" s="7">
        <f>IF(E214="","",IF(F214="",TODAY(),F214)-E214)</f>
        <v/>
      </c>
      <c r="L214" s="8">
        <f>IF(F214&lt;&gt;"","Sold",IF(E214&lt;&gt;"","Online",IF(A214&lt;&gt;"","In stock","")))</f>
        <v/>
      </c>
    </row>
    <row r="215">
      <c r="A215" s="3" t="n"/>
      <c r="B215" s="4" t="n"/>
      <c r="C215" s="5" t="n"/>
      <c r="D215" s="3" t="n"/>
      <c r="E215" s="4" t="n"/>
      <c r="F215" s="4" t="n"/>
      <c r="G215" s="5" t="n"/>
      <c r="H215" s="5" t="n"/>
      <c r="I215" s="5" t="n"/>
      <c r="J215" s="6">
        <f>IF(G215="","",G215-C215-H215-I215)</f>
        <v/>
      </c>
      <c r="K215" s="7">
        <f>IF(E215="","",IF(F215="",TODAY(),F215)-E215)</f>
        <v/>
      </c>
      <c r="L215" s="8">
        <f>IF(F215&lt;&gt;"","Sold",IF(E215&lt;&gt;"","Online",IF(A215&lt;&gt;"","In stock","")))</f>
        <v/>
      </c>
    </row>
    <row r="216">
      <c r="A216" s="3" t="n"/>
      <c r="B216" s="4" t="n"/>
      <c r="C216" s="5" t="n"/>
      <c r="D216" s="3" t="n"/>
      <c r="E216" s="4" t="n"/>
      <c r="F216" s="4" t="n"/>
      <c r="G216" s="5" t="n"/>
      <c r="H216" s="5" t="n"/>
      <c r="I216" s="5" t="n"/>
      <c r="J216" s="6">
        <f>IF(G216="","",G216-C216-H216-I216)</f>
        <v/>
      </c>
      <c r="K216" s="7">
        <f>IF(E216="","",IF(F216="",TODAY(),F216)-E216)</f>
        <v/>
      </c>
      <c r="L216" s="8">
        <f>IF(F216&lt;&gt;"","Sold",IF(E216&lt;&gt;"","Online",IF(A216&lt;&gt;"","In stock","")))</f>
        <v/>
      </c>
    </row>
    <row r="217">
      <c r="A217" s="3" t="n"/>
      <c r="B217" s="4" t="n"/>
      <c r="C217" s="5" t="n"/>
      <c r="D217" s="3" t="n"/>
      <c r="E217" s="4" t="n"/>
      <c r="F217" s="4" t="n"/>
      <c r="G217" s="5" t="n"/>
      <c r="H217" s="5" t="n"/>
      <c r="I217" s="5" t="n"/>
      <c r="J217" s="6">
        <f>IF(G217="","",G217-C217-H217-I217)</f>
        <v/>
      </c>
      <c r="K217" s="7">
        <f>IF(E217="","",IF(F217="",TODAY(),F217)-E217)</f>
        <v/>
      </c>
      <c r="L217" s="8">
        <f>IF(F217&lt;&gt;"","Sold",IF(E217&lt;&gt;"","Online",IF(A217&lt;&gt;"","In stock","")))</f>
        <v/>
      </c>
    </row>
    <row r="218">
      <c r="A218" s="3" t="n"/>
      <c r="B218" s="4" t="n"/>
      <c r="C218" s="5" t="n"/>
      <c r="D218" s="3" t="n"/>
      <c r="E218" s="4" t="n"/>
      <c r="F218" s="4" t="n"/>
      <c r="G218" s="5" t="n"/>
      <c r="H218" s="5" t="n"/>
      <c r="I218" s="5" t="n"/>
      <c r="J218" s="6">
        <f>IF(G218="","",G218-C218-H218-I218)</f>
        <v/>
      </c>
      <c r="K218" s="7">
        <f>IF(E218="","",IF(F218="",TODAY(),F218)-E218)</f>
        <v/>
      </c>
      <c r="L218" s="8">
        <f>IF(F218&lt;&gt;"","Sold",IF(E218&lt;&gt;"","Online",IF(A218&lt;&gt;"","In stock","")))</f>
        <v/>
      </c>
    </row>
    <row r="219">
      <c r="A219" s="3" t="n"/>
      <c r="B219" s="4" t="n"/>
      <c r="C219" s="5" t="n"/>
      <c r="D219" s="3" t="n"/>
      <c r="E219" s="4" t="n"/>
      <c r="F219" s="4" t="n"/>
      <c r="G219" s="5" t="n"/>
      <c r="H219" s="5" t="n"/>
      <c r="I219" s="5" t="n"/>
      <c r="J219" s="6">
        <f>IF(G219="","",G219-C219-H219-I219)</f>
        <v/>
      </c>
      <c r="K219" s="7">
        <f>IF(E219="","",IF(F219="",TODAY(),F219)-E219)</f>
        <v/>
      </c>
      <c r="L219" s="8">
        <f>IF(F219&lt;&gt;"","Sold",IF(E219&lt;&gt;"","Online",IF(A219&lt;&gt;"","In stock","")))</f>
        <v/>
      </c>
    </row>
    <row r="220">
      <c r="A220" s="3" t="n"/>
      <c r="B220" s="4" t="n"/>
      <c r="C220" s="5" t="n"/>
      <c r="D220" s="3" t="n"/>
      <c r="E220" s="4" t="n"/>
      <c r="F220" s="4" t="n"/>
      <c r="G220" s="5" t="n"/>
      <c r="H220" s="5" t="n"/>
      <c r="I220" s="5" t="n"/>
      <c r="J220" s="6">
        <f>IF(G220="","",G220-C220-H220-I220)</f>
        <v/>
      </c>
      <c r="K220" s="7">
        <f>IF(E220="","",IF(F220="",TODAY(),F220)-E220)</f>
        <v/>
      </c>
      <c r="L220" s="8">
        <f>IF(F220&lt;&gt;"","Sold",IF(E220&lt;&gt;"","Online",IF(A220&lt;&gt;"","In stock","")))</f>
        <v/>
      </c>
    </row>
    <row r="221">
      <c r="A221" s="3" t="n"/>
      <c r="B221" s="4" t="n"/>
      <c r="C221" s="5" t="n"/>
      <c r="D221" s="3" t="n"/>
      <c r="E221" s="4" t="n"/>
      <c r="F221" s="4" t="n"/>
      <c r="G221" s="5" t="n"/>
      <c r="H221" s="5" t="n"/>
      <c r="I221" s="5" t="n"/>
      <c r="J221" s="6">
        <f>IF(G221="","",G221-C221-H221-I221)</f>
        <v/>
      </c>
      <c r="K221" s="7">
        <f>IF(E221="","",IF(F221="",TODAY(),F221)-E221)</f>
        <v/>
      </c>
      <c r="L221" s="8">
        <f>IF(F221&lt;&gt;"","Sold",IF(E221&lt;&gt;"","Online",IF(A221&lt;&gt;"","In stock","")))</f>
        <v/>
      </c>
    </row>
    <row r="222">
      <c r="A222" s="3" t="n"/>
      <c r="B222" s="4" t="n"/>
      <c r="C222" s="5" t="n"/>
      <c r="D222" s="3" t="n"/>
      <c r="E222" s="4" t="n"/>
      <c r="F222" s="4" t="n"/>
      <c r="G222" s="5" t="n"/>
      <c r="H222" s="5" t="n"/>
      <c r="I222" s="5" t="n"/>
      <c r="J222" s="6">
        <f>IF(G222="","",G222-C222-H222-I222)</f>
        <v/>
      </c>
      <c r="K222" s="7">
        <f>IF(E222="","",IF(F222="",TODAY(),F222)-E222)</f>
        <v/>
      </c>
      <c r="L222" s="8">
        <f>IF(F222&lt;&gt;"","Sold",IF(E222&lt;&gt;"","Online",IF(A222&lt;&gt;"","In stock","")))</f>
        <v/>
      </c>
    </row>
    <row r="223">
      <c r="A223" s="3" t="n"/>
      <c r="B223" s="4" t="n"/>
      <c r="C223" s="5" t="n"/>
      <c r="D223" s="3" t="n"/>
      <c r="E223" s="4" t="n"/>
      <c r="F223" s="4" t="n"/>
      <c r="G223" s="5" t="n"/>
      <c r="H223" s="5" t="n"/>
      <c r="I223" s="5" t="n"/>
      <c r="J223" s="6">
        <f>IF(G223="","",G223-C223-H223-I223)</f>
        <v/>
      </c>
      <c r="K223" s="7">
        <f>IF(E223="","",IF(F223="",TODAY(),F223)-E223)</f>
        <v/>
      </c>
      <c r="L223" s="8">
        <f>IF(F223&lt;&gt;"","Sold",IF(E223&lt;&gt;"","Online",IF(A223&lt;&gt;"","In stock","")))</f>
        <v/>
      </c>
    </row>
    <row r="224">
      <c r="A224" s="3" t="n"/>
      <c r="B224" s="4" t="n"/>
      <c r="C224" s="5" t="n"/>
      <c r="D224" s="3" t="n"/>
      <c r="E224" s="4" t="n"/>
      <c r="F224" s="4" t="n"/>
      <c r="G224" s="5" t="n"/>
      <c r="H224" s="5" t="n"/>
      <c r="I224" s="5" t="n"/>
      <c r="J224" s="6">
        <f>IF(G224="","",G224-C224-H224-I224)</f>
        <v/>
      </c>
      <c r="K224" s="7">
        <f>IF(E224="","",IF(F224="",TODAY(),F224)-E224)</f>
        <v/>
      </c>
      <c r="L224" s="8">
        <f>IF(F224&lt;&gt;"","Sold",IF(E224&lt;&gt;"","Online",IF(A224&lt;&gt;"","In stock","")))</f>
        <v/>
      </c>
    </row>
    <row r="225">
      <c r="A225" s="3" t="n"/>
      <c r="B225" s="4" t="n"/>
      <c r="C225" s="5" t="n"/>
      <c r="D225" s="3" t="n"/>
      <c r="E225" s="4" t="n"/>
      <c r="F225" s="4" t="n"/>
      <c r="G225" s="5" t="n"/>
      <c r="H225" s="5" t="n"/>
      <c r="I225" s="5" t="n"/>
      <c r="J225" s="6">
        <f>IF(G225="","",G225-C225-H225-I225)</f>
        <v/>
      </c>
      <c r="K225" s="7">
        <f>IF(E225="","",IF(F225="",TODAY(),F225)-E225)</f>
        <v/>
      </c>
      <c r="L225" s="8">
        <f>IF(F225&lt;&gt;"","Sold",IF(E225&lt;&gt;"","Online",IF(A225&lt;&gt;"","In stock","")))</f>
        <v/>
      </c>
    </row>
    <row r="226">
      <c r="A226" s="3" t="n"/>
      <c r="B226" s="4" t="n"/>
      <c r="C226" s="5" t="n"/>
      <c r="D226" s="3" t="n"/>
      <c r="E226" s="4" t="n"/>
      <c r="F226" s="4" t="n"/>
      <c r="G226" s="5" t="n"/>
      <c r="H226" s="5" t="n"/>
      <c r="I226" s="5" t="n"/>
      <c r="J226" s="6">
        <f>IF(G226="","",G226-C226-H226-I226)</f>
        <v/>
      </c>
      <c r="K226" s="7">
        <f>IF(E226="","",IF(F226="",TODAY(),F226)-E226)</f>
        <v/>
      </c>
      <c r="L226" s="8">
        <f>IF(F226&lt;&gt;"","Sold",IF(E226&lt;&gt;"","Online",IF(A226&lt;&gt;"","In stock","")))</f>
        <v/>
      </c>
    </row>
    <row r="227">
      <c r="A227" s="3" t="n"/>
      <c r="B227" s="4" t="n"/>
      <c r="C227" s="5" t="n"/>
      <c r="D227" s="3" t="n"/>
      <c r="E227" s="4" t="n"/>
      <c r="F227" s="4" t="n"/>
      <c r="G227" s="5" t="n"/>
      <c r="H227" s="5" t="n"/>
      <c r="I227" s="5" t="n"/>
      <c r="J227" s="6">
        <f>IF(G227="","",G227-C227-H227-I227)</f>
        <v/>
      </c>
      <c r="K227" s="7">
        <f>IF(E227="","",IF(F227="",TODAY(),F227)-E227)</f>
        <v/>
      </c>
      <c r="L227" s="8">
        <f>IF(F227&lt;&gt;"","Sold",IF(E227&lt;&gt;"","Online",IF(A227&lt;&gt;"","In stock","")))</f>
        <v/>
      </c>
    </row>
    <row r="228">
      <c r="A228" s="3" t="n"/>
      <c r="B228" s="4" t="n"/>
      <c r="C228" s="5" t="n"/>
      <c r="D228" s="3" t="n"/>
      <c r="E228" s="4" t="n"/>
      <c r="F228" s="4" t="n"/>
      <c r="G228" s="5" t="n"/>
      <c r="H228" s="5" t="n"/>
      <c r="I228" s="5" t="n"/>
      <c r="J228" s="6">
        <f>IF(G228="","",G228-C228-H228-I228)</f>
        <v/>
      </c>
      <c r="K228" s="7">
        <f>IF(E228="","",IF(F228="",TODAY(),F228)-E228)</f>
        <v/>
      </c>
      <c r="L228" s="8">
        <f>IF(F228&lt;&gt;"","Sold",IF(E228&lt;&gt;"","Online",IF(A228&lt;&gt;"","In stock","")))</f>
        <v/>
      </c>
    </row>
    <row r="229">
      <c r="A229" s="3" t="n"/>
      <c r="B229" s="4" t="n"/>
      <c r="C229" s="5" t="n"/>
      <c r="D229" s="3" t="n"/>
      <c r="E229" s="4" t="n"/>
      <c r="F229" s="4" t="n"/>
      <c r="G229" s="5" t="n"/>
      <c r="H229" s="5" t="n"/>
      <c r="I229" s="5" t="n"/>
      <c r="J229" s="6">
        <f>IF(G229="","",G229-C229-H229-I229)</f>
        <v/>
      </c>
      <c r="K229" s="7">
        <f>IF(E229="","",IF(F229="",TODAY(),F229)-E229)</f>
        <v/>
      </c>
      <c r="L229" s="8">
        <f>IF(F229&lt;&gt;"","Sold",IF(E229&lt;&gt;"","Online",IF(A229&lt;&gt;"","In stock","")))</f>
        <v/>
      </c>
    </row>
    <row r="230">
      <c r="A230" s="3" t="n"/>
      <c r="B230" s="4" t="n"/>
      <c r="C230" s="5" t="n"/>
      <c r="D230" s="3" t="n"/>
      <c r="E230" s="4" t="n"/>
      <c r="F230" s="4" t="n"/>
      <c r="G230" s="5" t="n"/>
      <c r="H230" s="5" t="n"/>
      <c r="I230" s="5" t="n"/>
      <c r="J230" s="6">
        <f>IF(G230="","",G230-C230-H230-I230)</f>
        <v/>
      </c>
      <c r="K230" s="7">
        <f>IF(E230="","",IF(F230="",TODAY(),F230)-E230)</f>
        <v/>
      </c>
      <c r="L230" s="8">
        <f>IF(F230&lt;&gt;"","Sold",IF(E230&lt;&gt;"","Online",IF(A230&lt;&gt;"","In stock","")))</f>
        <v/>
      </c>
    </row>
    <row r="231">
      <c r="A231" s="3" t="n"/>
      <c r="B231" s="4" t="n"/>
      <c r="C231" s="5" t="n"/>
      <c r="D231" s="3" t="n"/>
      <c r="E231" s="4" t="n"/>
      <c r="F231" s="4" t="n"/>
      <c r="G231" s="5" t="n"/>
      <c r="H231" s="5" t="n"/>
      <c r="I231" s="5" t="n"/>
      <c r="J231" s="6">
        <f>IF(G231="","",G231-C231-H231-I231)</f>
        <v/>
      </c>
      <c r="K231" s="7">
        <f>IF(E231="","",IF(F231="",TODAY(),F231)-E231)</f>
        <v/>
      </c>
      <c r="L231" s="8">
        <f>IF(F231&lt;&gt;"","Sold",IF(E231&lt;&gt;"","Online",IF(A231&lt;&gt;"","In stock","")))</f>
        <v/>
      </c>
    </row>
    <row r="232">
      <c r="A232" s="3" t="n"/>
      <c r="B232" s="4" t="n"/>
      <c r="C232" s="5" t="n"/>
      <c r="D232" s="3" t="n"/>
      <c r="E232" s="4" t="n"/>
      <c r="F232" s="4" t="n"/>
      <c r="G232" s="5" t="n"/>
      <c r="H232" s="5" t="n"/>
      <c r="I232" s="5" t="n"/>
      <c r="J232" s="6">
        <f>IF(G232="","",G232-C232-H232-I232)</f>
        <v/>
      </c>
      <c r="K232" s="7">
        <f>IF(E232="","",IF(F232="",TODAY(),F232)-E232)</f>
        <v/>
      </c>
      <c r="L232" s="8">
        <f>IF(F232&lt;&gt;"","Sold",IF(E232&lt;&gt;"","Online",IF(A232&lt;&gt;"","In stock","")))</f>
        <v/>
      </c>
    </row>
    <row r="233">
      <c r="A233" s="3" t="n"/>
      <c r="B233" s="4" t="n"/>
      <c r="C233" s="5" t="n"/>
      <c r="D233" s="3" t="n"/>
      <c r="E233" s="4" t="n"/>
      <c r="F233" s="4" t="n"/>
      <c r="G233" s="5" t="n"/>
      <c r="H233" s="5" t="n"/>
      <c r="I233" s="5" t="n"/>
      <c r="J233" s="6">
        <f>IF(G233="","",G233-C233-H233-I233)</f>
        <v/>
      </c>
      <c r="K233" s="7">
        <f>IF(E233="","",IF(F233="",TODAY(),F233)-E233)</f>
        <v/>
      </c>
      <c r="L233" s="8">
        <f>IF(F233&lt;&gt;"","Sold",IF(E233&lt;&gt;"","Online",IF(A233&lt;&gt;"","In stock","")))</f>
        <v/>
      </c>
    </row>
    <row r="234">
      <c r="A234" s="3" t="n"/>
      <c r="B234" s="4" t="n"/>
      <c r="C234" s="5" t="n"/>
      <c r="D234" s="3" t="n"/>
      <c r="E234" s="4" t="n"/>
      <c r="F234" s="4" t="n"/>
      <c r="G234" s="5" t="n"/>
      <c r="H234" s="5" t="n"/>
      <c r="I234" s="5" t="n"/>
      <c r="J234" s="6">
        <f>IF(G234="","",G234-C234-H234-I234)</f>
        <v/>
      </c>
      <c r="K234" s="7">
        <f>IF(E234="","",IF(F234="",TODAY(),F234)-E234)</f>
        <v/>
      </c>
      <c r="L234" s="8">
        <f>IF(F234&lt;&gt;"","Sold",IF(E234&lt;&gt;"","Online",IF(A234&lt;&gt;"","In stock","")))</f>
        <v/>
      </c>
    </row>
    <row r="235">
      <c r="A235" s="3" t="n"/>
      <c r="B235" s="4" t="n"/>
      <c r="C235" s="5" t="n"/>
      <c r="D235" s="3" t="n"/>
      <c r="E235" s="4" t="n"/>
      <c r="F235" s="4" t="n"/>
      <c r="G235" s="5" t="n"/>
      <c r="H235" s="5" t="n"/>
      <c r="I235" s="5" t="n"/>
      <c r="J235" s="6">
        <f>IF(G235="","",G235-C235-H235-I235)</f>
        <v/>
      </c>
      <c r="K235" s="7">
        <f>IF(E235="","",IF(F235="",TODAY(),F235)-E235)</f>
        <v/>
      </c>
      <c r="L235" s="8">
        <f>IF(F235&lt;&gt;"","Sold",IF(E235&lt;&gt;"","Online",IF(A235&lt;&gt;"","In stock","")))</f>
        <v/>
      </c>
    </row>
    <row r="236">
      <c r="A236" s="3" t="n"/>
      <c r="B236" s="4" t="n"/>
      <c r="C236" s="5" t="n"/>
      <c r="D236" s="3" t="n"/>
      <c r="E236" s="4" t="n"/>
      <c r="F236" s="4" t="n"/>
      <c r="G236" s="5" t="n"/>
      <c r="H236" s="5" t="n"/>
      <c r="I236" s="5" t="n"/>
      <c r="J236" s="6">
        <f>IF(G236="","",G236-C236-H236-I236)</f>
        <v/>
      </c>
      <c r="K236" s="7">
        <f>IF(E236="","",IF(F236="",TODAY(),F236)-E236)</f>
        <v/>
      </c>
      <c r="L236" s="8">
        <f>IF(F236&lt;&gt;"","Sold",IF(E236&lt;&gt;"","Online",IF(A236&lt;&gt;"","In stock","")))</f>
        <v/>
      </c>
    </row>
    <row r="237">
      <c r="A237" s="3" t="n"/>
      <c r="B237" s="4" t="n"/>
      <c r="C237" s="5" t="n"/>
      <c r="D237" s="3" t="n"/>
      <c r="E237" s="4" t="n"/>
      <c r="F237" s="4" t="n"/>
      <c r="G237" s="5" t="n"/>
      <c r="H237" s="5" t="n"/>
      <c r="I237" s="5" t="n"/>
      <c r="J237" s="6">
        <f>IF(G237="","",G237-C237-H237-I237)</f>
        <v/>
      </c>
      <c r="K237" s="7">
        <f>IF(E237="","",IF(F237="",TODAY(),F237)-E237)</f>
        <v/>
      </c>
      <c r="L237" s="8">
        <f>IF(F237&lt;&gt;"","Sold",IF(E237&lt;&gt;"","Online",IF(A237&lt;&gt;"","In stock","")))</f>
        <v/>
      </c>
    </row>
    <row r="238">
      <c r="A238" s="3" t="n"/>
      <c r="B238" s="4" t="n"/>
      <c r="C238" s="5" t="n"/>
      <c r="D238" s="3" t="n"/>
      <c r="E238" s="4" t="n"/>
      <c r="F238" s="4" t="n"/>
      <c r="G238" s="5" t="n"/>
      <c r="H238" s="5" t="n"/>
      <c r="I238" s="5" t="n"/>
      <c r="J238" s="6">
        <f>IF(G238="","",G238-C238-H238-I238)</f>
        <v/>
      </c>
      <c r="K238" s="7">
        <f>IF(E238="","",IF(F238="",TODAY(),F238)-E238)</f>
        <v/>
      </c>
      <c r="L238" s="8">
        <f>IF(F238&lt;&gt;"","Sold",IF(E238&lt;&gt;"","Online",IF(A238&lt;&gt;"","In stock","")))</f>
        <v/>
      </c>
    </row>
    <row r="239">
      <c r="A239" s="3" t="n"/>
      <c r="B239" s="4" t="n"/>
      <c r="C239" s="5" t="n"/>
      <c r="D239" s="3" t="n"/>
      <c r="E239" s="4" t="n"/>
      <c r="F239" s="4" t="n"/>
      <c r="G239" s="5" t="n"/>
      <c r="H239" s="5" t="n"/>
      <c r="I239" s="5" t="n"/>
      <c r="J239" s="6">
        <f>IF(G239="","",G239-C239-H239-I239)</f>
        <v/>
      </c>
      <c r="K239" s="7">
        <f>IF(E239="","",IF(F239="",TODAY(),F239)-E239)</f>
        <v/>
      </c>
      <c r="L239" s="8">
        <f>IF(F239&lt;&gt;"","Sold",IF(E239&lt;&gt;"","Online",IF(A239&lt;&gt;"","In stock","")))</f>
        <v/>
      </c>
    </row>
    <row r="240">
      <c r="A240" s="3" t="n"/>
      <c r="B240" s="4" t="n"/>
      <c r="C240" s="5" t="n"/>
      <c r="D240" s="3" t="n"/>
      <c r="E240" s="4" t="n"/>
      <c r="F240" s="4" t="n"/>
      <c r="G240" s="5" t="n"/>
      <c r="H240" s="5" t="n"/>
      <c r="I240" s="5" t="n"/>
      <c r="J240" s="6">
        <f>IF(G240="","",G240-C240-H240-I240)</f>
        <v/>
      </c>
      <c r="K240" s="7">
        <f>IF(E240="","",IF(F240="",TODAY(),F240)-E240)</f>
        <v/>
      </c>
      <c r="L240" s="8">
        <f>IF(F240&lt;&gt;"","Sold",IF(E240&lt;&gt;"","Online",IF(A240&lt;&gt;"","In stock","")))</f>
        <v/>
      </c>
    </row>
    <row r="241">
      <c r="A241" s="3" t="n"/>
      <c r="B241" s="4" t="n"/>
      <c r="C241" s="5" t="n"/>
      <c r="D241" s="3" t="n"/>
      <c r="E241" s="4" t="n"/>
      <c r="F241" s="4" t="n"/>
      <c r="G241" s="5" t="n"/>
      <c r="H241" s="5" t="n"/>
      <c r="I241" s="5" t="n"/>
      <c r="J241" s="6">
        <f>IF(G241="","",G241-C241-H241-I241)</f>
        <v/>
      </c>
      <c r="K241" s="7">
        <f>IF(E241="","",IF(F241="",TODAY(),F241)-E241)</f>
        <v/>
      </c>
      <c r="L241" s="8">
        <f>IF(F241&lt;&gt;"","Sold",IF(E241&lt;&gt;"","Online",IF(A241&lt;&gt;"","In stock","")))</f>
        <v/>
      </c>
    </row>
    <row r="242">
      <c r="A242" s="3" t="n"/>
      <c r="B242" s="4" t="n"/>
      <c r="C242" s="5" t="n"/>
      <c r="D242" s="3" t="n"/>
      <c r="E242" s="4" t="n"/>
      <c r="F242" s="4" t="n"/>
      <c r="G242" s="5" t="n"/>
      <c r="H242" s="5" t="n"/>
      <c r="I242" s="5" t="n"/>
      <c r="J242" s="6">
        <f>IF(G242="","",G242-C242-H242-I242)</f>
        <v/>
      </c>
      <c r="K242" s="7">
        <f>IF(E242="","",IF(F242="",TODAY(),F242)-E242)</f>
        <v/>
      </c>
      <c r="L242" s="8">
        <f>IF(F242&lt;&gt;"","Sold",IF(E242&lt;&gt;"","Online",IF(A242&lt;&gt;"","In stock","")))</f>
        <v/>
      </c>
    </row>
    <row r="243">
      <c r="A243" s="3" t="n"/>
      <c r="B243" s="4" t="n"/>
      <c r="C243" s="5" t="n"/>
      <c r="D243" s="3" t="n"/>
      <c r="E243" s="4" t="n"/>
      <c r="F243" s="4" t="n"/>
      <c r="G243" s="5" t="n"/>
      <c r="H243" s="5" t="n"/>
      <c r="I243" s="5" t="n"/>
      <c r="J243" s="6">
        <f>IF(G243="","",G243-C243-H243-I243)</f>
        <v/>
      </c>
      <c r="K243" s="7">
        <f>IF(E243="","",IF(F243="",TODAY(),F243)-E243)</f>
        <v/>
      </c>
      <c r="L243" s="8">
        <f>IF(F243&lt;&gt;"","Sold",IF(E243&lt;&gt;"","Online",IF(A243&lt;&gt;"","In stock","")))</f>
        <v/>
      </c>
    </row>
    <row r="244">
      <c r="A244" s="3" t="n"/>
      <c r="B244" s="4" t="n"/>
      <c r="C244" s="5" t="n"/>
      <c r="D244" s="3" t="n"/>
      <c r="E244" s="4" t="n"/>
      <c r="F244" s="4" t="n"/>
      <c r="G244" s="5" t="n"/>
      <c r="H244" s="5" t="n"/>
      <c r="I244" s="5" t="n"/>
      <c r="J244" s="6">
        <f>IF(G244="","",G244-C244-H244-I244)</f>
        <v/>
      </c>
      <c r="K244" s="7">
        <f>IF(E244="","",IF(F244="",TODAY(),F244)-E244)</f>
        <v/>
      </c>
      <c r="L244" s="8">
        <f>IF(F244&lt;&gt;"","Sold",IF(E244&lt;&gt;"","Online",IF(A244&lt;&gt;"","In stock","")))</f>
        <v/>
      </c>
    </row>
    <row r="245">
      <c r="A245" s="3" t="n"/>
      <c r="B245" s="4" t="n"/>
      <c r="C245" s="5" t="n"/>
      <c r="D245" s="3" t="n"/>
      <c r="E245" s="4" t="n"/>
      <c r="F245" s="4" t="n"/>
      <c r="G245" s="5" t="n"/>
      <c r="H245" s="5" t="n"/>
      <c r="I245" s="5" t="n"/>
      <c r="J245" s="6">
        <f>IF(G245="","",G245-C245-H245-I245)</f>
        <v/>
      </c>
      <c r="K245" s="7">
        <f>IF(E245="","",IF(F245="",TODAY(),F245)-E245)</f>
        <v/>
      </c>
      <c r="L245" s="8">
        <f>IF(F245&lt;&gt;"","Sold",IF(E245&lt;&gt;"","Online",IF(A245&lt;&gt;"","In stock","")))</f>
        <v/>
      </c>
    </row>
    <row r="246">
      <c r="A246" s="3" t="n"/>
      <c r="B246" s="4" t="n"/>
      <c r="C246" s="5" t="n"/>
      <c r="D246" s="3" t="n"/>
      <c r="E246" s="4" t="n"/>
      <c r="F246" s="4" t="n"/>
      <c r="G246" s="5" t="n"/>
      <c r="H246" s="5" t="n"/>
      <c r="I246" s="5" t="n"/>
      <c r="J246" s="6">
        <f>IF(G246="","",G246-C246-H246-I246)</f>
        <v/>
      </c>
      <c r="K246" s="7">
        <f>IF(E246="","",IF(F246="",TODAY(),F246)-E246)</f>
        <v/>
      </c>
      <c r="L246" s="8">
        <f>IF(F246&lt;&gt;"","Sold",IF(E246&lt;&gt;"","Online",IF(A246&lt;&gt;"","In stock","")))</f>
        <v/>
      </c>
    </row>
    <row r="247">
      <c r="A247" s="3" t="n"/>
      <c r="B247" s="4" t="n"/>
      <c r="C247" s="5" t="n"/>
      <c r="D247" s="3" t="n"/>
      <c r="E247" s="4" t="n"/>
      <c r="F247" s="4" t="n"/>
      <c r="G247" s="5" t="n"/>
      <c r="H247" s="5" t="n"/>
      <c r="I247" s="5" t="n"/>
      <c r="J247" s="6">
        <f>IF(G247="","",G247-C247-H247-I247)</f>
        <v/>
      </c>
      <c r="K247" s="7">
        <f>IF(E247="","",IF(F247="",TODAY(),F247)-E247)</f>
        <v/>
      </c>
      <c r="L247" s="8">
        <f>IF(F247&lt;&gt;"","Sold",IF(E247&lt;&gt;"","Online",IF(A247&lt;&gt;"","In stock","")))</f>
        <v/>
      </c>
    </row>
    <row r="248">
      <c r="A248" s="3" t="n"/>
      <c r="B248" s="4" t="n"/>
      <c r="C248" s="5" t="n"/>
      <c r="D248" s="3" t="n"/>
      <c r="E248" s="4" t="n"/>
      <c r="F248" s="4" t="n"/>
      <c r="G248" s="5" t="n"/>
      <c r="H248" s="5" t="n"/>
      <c r="I248" s="5" t="n"/>
      <c r="J248" s="6">
        <f>IF(G248="","",G248-C248-H248-I248)</f>
        <v/>
      </c>
      <c r="K248" s="7">
        <f>IF(E248="","",IF(F248="",TODAY(),F248)-E248)</f>
        <v/>
      </c>
      <c r="L248" s="8">
        <f>IF(F248&lt;&gt;"","Sold",IF(E248&lt;&gt;"","Online",IF(A248&lt;&gt;"","In stock","")))</f>
        <v/>
      </c>
    </row>
    <row r="249">
      <c r="A249" s="3" t="n"/>
      <c r="B249" s="4" t="n"/>
      <c r="C249" s="5" t="n"/>
      <c r="D249" s="3" t="n"/>
      <c r="E249" s="4" t="n"/>
      <c r="F249" s="4" t="n"/>
      <c r="G249" s="5" t="n"/>
      <c r="H249" s="5" t="n"/>
      <c r="I249" s="5" t="n"/>
      <c r="J249" s="6">
        <f>IF(G249="","",G249-C249-H249-I249)</f>
        <v/>
      </c>
      <c r="K249" s="7">
        <f>IF(E249="","",IF(F249="",TODAY(),F249)-E249)</f>
        <v/>
      </c>
      <c r="L249" s="8">
        <f>IF(F249&lt;&gt;"","Sold",IF(E249&lt;&gt;"","Online",IF(A249&lt;&gt;"","In stock","")))</f>
        <v/>
      </c>
    </row>
    <row r="250">
      <c r="A250" s="3" t="n"/>
      <c r="B250" s="4" t="n"/>
      <c r="C250" s="5" t="n"/>
      <c r="D250" s="3" t="n"/>
      <c r="E250" s="4" t="n"/>
      <c r="F250" s="4" t="n"/>
      <c r="G250" s="5" t="n"/>
      <c r="H250" s="5" t="n"/>
      <c r="I250" s="5" t="n"/>
      <c r="J250" s="6">
        <f>IF(G250="","",G250-C250-H250-I250)</f>
        <v/>
      </c>
      <c r="K250" s="7">
        <f>IF(E250="","",IF(F250="",TODAY(),F250)-E250)</f>
        <v/>
      </c>
      <c r="L250" s="8">
        <f>IF(F250&lt;&gt;"","Sold",IF(E250&lt;&gt;"","Online",IF(A250&lt;&gt;"","In stock","")))</f>
        <v/>
      </c>
    </row>
    <row r="251">
      <c r="A251" s="3" t="n"/>
      <c r="B251" s="4" t="n"/>
      <c r="C251" s="5" t="n"/>
      <c r="D251" s="3" t="n"/>
      <c r="E251" s="4" t="n"/>
      <c r="F251" s="4" t="n"/>
      <c r="G251" s="5" t="n"/>
      <c r="H251" s="5" t="n"/>
      <c r="I251" s="5" t="n"/>
      <c r="J251" s="6">
        <f>IF(G251="","",G251-C251-H251-I251)</f>
        <v/>
      </c>
      <c r="K251" s="7">
        <f>IF(E251="","",IF(F251="",TODAY(),F251)-E251)</f>
        <v/>
      </c>
      <c r="L251" s="8">
        <f>IF(F251&lt;&gt;"","Sold",IF(E251&lt;&gt;"","Online",IF(A251&lt;&gt;"","In stock","")))</f>
        <v/>
      </c>
    </row>
    <row r="252">
      <c r="A252" s="3" t="n"/>
      <c r="B252" s="4" t="n"/>
      <c r="C252" s="5" t="n"/>
      <c r="D252" s="3" t="n"/>
      <c r="E252" s="4" t="n"/>
      <c r="F252" s="4" t="n"/>
      <c r="G252" s="5" t="n"/>
      <c r="H252" s="5" t="n"/>
      <c r="I252" s="5" t="n"/>
      <c r="J252" s="6">
        <f>IF(G252="","",G252-C252-H252-I252)</f>
        <v/>
      </c>
      <c r="K252" s="7">
        <f>IF(E252="","",IF(F252="",TODAY(),F252)-E252)</f>
        <v/>
      </c>
      <c r="L252" s="8">
        <f>IF(F252&lt;&gt;"","Sold",IF(E252&lt;&gt;"","Online",IF(A252&lt;&gt;"","In stock","")))</f>
        <v/>
      </c>
    </row>
    <row r="253">
      <c r="A253" s="3" t="n"/>
      <c r="B253" s="4" t="n"/>
      <c r="C253" s="5" t="n"/>
      <c r="D253" s="3" t="n"/>
      <c r="E253" s="4" t="n"/>
      <c r="F253" s="4" t="n"/>
      <c r="G253" s="5" t="n"/>
      <c r="H253" s="5" t="n"/>
      <c r="I253" s="5" t="n"/>
      <c r="J253" s="6">
        <f>IF(G253="","",G253-C253-H253-I253)</f>
        <v/>
      </c>
      <c r="K253" s="7">
        <f>IF(E253="","",IF(F253="",TODAY(),F253)-E253)</f>
        <v/>
      </c>
      <c r="L253" s="8">
        <f>IF(F253&lt;&gt;"","Sold",IF(E253&lt;&gt;"","Online",IF(A253&lt;&gt;"","In stock","")))</f>
        <v/>
      </c>
    </row>
    <row r="254">
      <c r="A254" s="3" t="n"/>
      <c r="B254" s="4" t="n"/>
      <c r="C254" s="5" t="n"/>
      <c r="D254" s="3" t="n"/>
      <c r="E254" s="4" t="n"/>
      <c r="F254" s="4" t="n"/>
      <c r="G254" s="5" t="n"/>
      <c r="H254" s="5" t="n"/>
      <c r="I254" s="5" t="n"/>
      <c r="J254" s="6">
        <f>IF(G254="","",G254-C254-H254-I254)</f>
        <v/>
      </c>
      <c r="K254" s="7">
        <f>IF(E254="","",IF(F254="",TODAY(),F254)-E254)</f>
        <v/>
      </c>
      <c r="L254" s="8">
        <f>IF(F254&lt;&gt;"","Sold",IF(E254&lt;&gt;"","Online",IF(A254&lt;&gt;"","In stock","")))</f>
        <v/>
      </c>
    </row>
    <row r="255">
      <c r="A255" s="3" t="n"/>
      <c r="B255" s="4" t="n"/>
      <c r="C255" s="5" t="n"/>
      <c r="D255" s="3" t="n"/>
      <c r="E255" s="4" t="n"/>
      <c r="F255" s="4" t="n"/>
      <c r="G255" s="5" t="n"/>
      <c r="H255" s="5" t="n"/>
      <c r="I255" s="5" t="n"/>
      <c r="J255" s="6">
        <f>IF(G255="","",G255-C255-H255-I255)</f>
        <v/>
      </c>
      <c r="K255" s="7">
        <f>IF(E255="","",IF(F255="",TODAY(),F255)-E255)</f>
        <v/>
      </c>
      <c r="L255" s="8">
        <f>IF(F255&lt;&gt;"","Sold",IF(E255&lt;&gt;"","Online",IF(A255&lt;&gt;"","In stock","")))</f>
        <v/>
      </c>
    </row>
    <row r="256">
      <c r="A256" s="3" t="n"/>
      <c r="B256" s="4" t="n"/>
      <c r="C256" s="5" t="n"/>
      <c r="D256" s="3" t="n"/>
      <c r="E256" s="4" t="n"/>
      <c r="F256" s="4" t="n"/>
      <c r="G256" s="5" t="n"/>
      <c r="H256" s="5" t="n"/>
      <c r="I256" s="5" t="n"/>
      <c r="J256" s="6">
        <f>IF(G256="","",G256-C256-H256-I256)</f>
        <v/>
      </c>
      <c r="K256" s="7">
        <f>IF(E256="","",IF(F256="",TODAY(),F256)-E256)</f>
        <v/>
      </c>
      <c r="L256" s="8">
        <f>IF(F256&lt;&gt;"","Sold",IF(E256&lt;&gt;"","Online",IF(A256&lt;&gt;"","In stock","")))</f>
        <v/>
      </c>
    </row>
    <row r="257">
      <c r="A257" s="3" t="n"/>
      <c r="B257" s="4" t="n"/>
      <c r="C257" s="5" t="n"/>
      <c r="D257" s="3" t="n"/>
      <c r="E257" s="4" t="n"/>
      <c r="F257" s="4" t="n"/>
      <c r="G257" s="5" t="n"/>
      <c r="H257" s="5" t="n"/>
      <c r="I257" s="5" t="n"/>
      <c r="J257" s="6">
        <f>IF(G257="","",G257-C257-H257-I257)</f>
        <v/>
      </c>
      <c r="K257" s="7">
        <f>IF(E257="","",IF(F257="",TODAY(),F257)-E257)</f>
        <v/>
      </c>
      <c r="L257" s="8">
        <f>IF(F257&lt;&gt;"","Sold",IF(E257&lt;&gt;"","Online",IF(A257&lt;&gt;"","In stock","")))</f>
        <v/>
      </c>
    </row>
    <row r="258">
      <c r="A258" s="3" t="n"/>
      <c r="B258" s="4" t="n"/>
      <c r="C258" s="5" t="n"/>
      <c r="D258" s="3" t="n"/>
      <c r="E258" s="4" t="n"/>
      <c r="F258" s="4" t="n"/>
      <c r="G258" s="5" t="n"/>
      <c r="H258" s="5" t="n"/>
      <c r="I258" s="5" t="n"/>
      <c r="J258" s="6">
        <f>IF(G258="","",G258-C258-H258-I258)</f>
        <v/>
      </c>
      <c r="K258" s="7">
        <f>IF(E258="","",IF(F258="",TODAY(),F258)-E258)</f>
        <v/>
      </c>
      <c r="L258" s="8">
        <f>IF(F258&lt;&gt;"","Sold",IF(E258&lt;&gt;"","Online",IF(A258&lt;&gt;"","In stock","")))</f>
        <v/>
      </c>
    </row>
    <row r="259">
      <c r="A259" s="3" t="n"/>
      <c r="B259" s="4" t="n"/>
      <c r="C259" s="5" t="n"/>
      <c r="D259" s="3" t="n"/>
      <c r="E259" s="4" t="n"/>
      <c r="F259" s="4" t="n"/>
      <c r="G259" s="5" t="n"/>
      <c r="H259" s="5" t="n"/>
      <c r="I259" s="5" t="n"/>
      <c r="J259" s="6">
        <f>IF(G259="","",G259-C259-H259-I259)</f>
        <v/>
      </c>
      <c r="K259" s="7">
        <f>IF(E259="","",IF(F259="",TODAY(),F259)-E259)</f>
        <v/>
      </c>
      <c r="L259" s="8">
        <f>IF(F259&lt;&gt;"","Sold",IF(E259&lt;&gt;"","Online",IF(A259&lt;&gt;"","In stock","")))</f>
        <v/>
      </c>
    </row>
    <row r="260">
      <c r="A260" s="3" t="n"/>
      <c r="B260" s="4" t="n"/>
      <c r="C260" s="5" t="n"/>
      <c r="D260" s="3" t="n"/>
      <c r="E260" s="4" t="n"/>
      <c r="F260" s="4" t="n"/>
      <c r="G260" s="5" t="n"/>
      <c r="H260" s="5" t="n"/>
      <c r="I260" s="5" t="n"/>
      <c r="J260" s="6">
        <f>IF(G260="","",G260-C260-H260-I260)</f>
        <v/>
      </c>
      <c r="K260" s="7">
        <f>IF(E260="","",IF(F260="",TODAY(),F260)-E260)</f>
        <v/>
      </c>
      <c r="L260" s="8">
        <f>IF(F260&lt;&gt;"","Sold",IF(E260&lt;&gt;"","Online",IF(A260&lt;&gt;"","In stock","")))</f>
        <v/>
      </c>
    </row>
    <row r="261">
      <c r="A261" s="3" t="n"/>
      <c r="B261" s="4" t="n"/>
      <c r="C261" s="5" t="n"/>
      <c r="D261" s="3" t="n"/>
      <c r="E261" s="4" t="n"/>
      <c r="F261" s="4" t="n"/>
      <c r="G261" s="5" t="n"/>
      <c r="H261" s="5" t="n"/>
      <c r="I261" s="5" t="n"/>
      <c r="J261" s="6">
        <f>IF(G261="","",G261-C261-H261-I261)</f>
        <v/>
      </c>
      <c r="K261" s="7">
        <f>IF(E261="","",IF(F261="",TODAY(),F261)-E261)</f>
        <v/>
      </c>
      <c r="L261" s="8">
        <f>IF(F261&lt;&gt;"","Sold",IF(E261&lt;&gt;"","Online",IF(A261&lt;&gt;"","In stock","")))</f>
        <v/>
      </c>
    </row>
    <row r="262">
      <c r="A262" s="3" t="n"/>
      <c r="B262" s="4" t="n"/>
      <c r="C262" s="5" t="n"/>
      <c r="D262" s="3" t="n"/>
      <c r="E262" s="4" t="n"/>
      <c r="F262" s="4" t="n"/>
      <c r="G262" s="5" t="n"/>
      <c r="H262" s="5" t="n"/>
      <c r="I262" s="5" t="n"/>
      <c r="J262" s="6">
        <f>IF(G262="","",G262-C262-H262-I262)</f>
        <v/>
      </c>
      <c r="K262" s="7">
        <f>IF(E262="","",IF(F262="",TODAY(),F262)-E262)</f>
        <v/>
      </c>
      <c r="L262" s="8">
        <f>IF(F262&lt;&gt;"","Sold",IF(E262&lt;&gt;"","Online",IF(A262&lt;&gt;"","In stock","")))</f>
        <v/>
      </c>
    </row>
    <row r="263">
      <c r="A263" s="3" t="n"/>
      <c r="B263" s="4" t="n"/>
      <c r="C263" s="5" t="n"/>
      <c r="D263" s="3" t="n"/>
      <c r="E263" s="4" t="n"/>
      <c r="F263" s="4" t="n"/>
      <c r="G263" s="5" t="n"/>
      <c r="H263" s="5" t="n"/>
      <c r="I263" s="5" t="n"/>
      <c r="J263" s="6">
        <f>IF(G263="","",G263-C263-H263-I263)</f>
        <v/>
      </c>
      <c r="K263" s="7">
        <f>IF(E263="","",IF(F263="",TODAY(),F263)-E263)</f>
        <v/>
      </c>
      <c r="L263" s="8">
        <f>IF(F263&lt;&gt;"","Sold",IF(E263&lt;&gt;"","Online",IF(A263&lt;&gt;"","In stock","")))</f>
        <v/>
      </c>
    </row>
    <row r="264">
      <c r="A264" s="3" t="n"/>
      <c r="B264" s="4" t="n"/>
      <c r="C264" s="5" t="n"/>
      <c r="D264" s="3" t="n"/>
      <c r="E264" s="4" t="n"/>
      <c r="F264" s="4" t="n"/>
      <c r="G264" s="5" t="n"/>
      <c r="H264" s="5" t="n"/>
      <c r="I264" s="5" t="n"/>
      <c r="J264" s="6">
        <f>IF(G264="","",G264-C264-H264-I264)</f>
        <v/>
      </c>
      <c r="K264" s="7">
        <f>IF(E264="","",IF(F264="",TODAY(),F264)-E264)</f>
        <v/>
      </c>
      <c r="L264" s="8">
        <f>IF(F264&lt;&gt;"","Sold",IF(E264&lt;&gt;"","Online",IF(A264&lt;&gt;"","In stock","")))</f>
        <v/>
      </c>
    </row>
    <row r="265">
      <c r="A265" s="3" t="n"/>
      <c r="B265" s="4" t="n"/>
      <c r="C265" s="5" t="n"/>
      <c r="D265" s="3" t="n"/>
      <c r="E265" s="4" t="n"/>
      <c r="F265" s="4" t="n"/>
      <c r="G265" s="5" t="n"/>
      <c r="H265" s="5" t="n"/>
      <c r="I265" s="5" t="n"/>
      <c r="J265" s="6">
        <f>IF(G265="","",G265-C265-H265-I265)</f>
        <v/>
      </c>
      <c r="K265" s="7">
        <f>IF(E265="","",IF(F265="",TODAY(),F265)-E265)</f>
        <v/>
      </c>
      <c r="L265" s="8">
        <f>IF(F265&lt;&gt;"","Sold",IF(E265&lt;&gt;"","Online",IF(A265&lt;&gt;"","In stock","")))</f>
        <v/>
      </c>
    </row>
    <row r="266">
      <c r="A266" s="3" t="n"/>
      <c r="B266" s="4" t="n"/>
      <c r="C266" s="5" t="n"/>
      <c r="D266" s="3" t="n"/>
      <c r="E266" s="4" t="n"/>
      <c r="F266" s="4" t="n"/>
      <c r="G266" s="5" t="n"/>
      <c r="H266" s="5" t="n"/>
      <c r="I266" s="5" t="n"/>
      <c r="J266" s="6">
        <f>IF(G266="","",G266-C266-H266-I266)</f>
        <v/>
      </c>
      <c r="K266" s="7">
        <f>IF(E266="","",IF(F266="",TODAY(),F266)-E266)</f>
        <v/>
      </c>
      <c r="L266" s="8">
        <f>IF(F266&lt;&gt;"","Sold",IF(E266&lt;&gt;"","Online",IF(A266&lt;&gt;"","In stock","")))</f>
        <v/>
      </c>
    </row>
    <row r="267">
      <c r="A267" s="3" t="n"/>
      <c r="B267" s="4" t="n"/>
      <c r="C267" s="5" t="n"/>
      <c r="D267" s="3" t="n"/>
      <c r="E267" s="4" t="n"/>
      <c r="F267" s="4" t="n"/>
      <c r="G267" s="5" t="n"/>
      <c r="H267" s="5" t="n"/>
      <c r="I267" s="5" t="n"/>
      <c r="J267" s="6">
        <f>IF(G267="","",G267-C267-H267-I267)</f>
        <v/>
      </c>
      <c r="K267" s="7">
        <f>IF(E267="","",IF(F267="",TODAY(),F267)-E267)</f>
        <v/>
      </c>
      <c r="L267" s="8">
        <f>IF(F267&lt;&gt;"","Sold",IF(E267&lt;&gt;"","Online",IF(A267&lt;&gt;"","In stock","")))</f>
        <v/>
      </c>
    </row>
    <row r="268">
      <c r="A268" s="3" t="n"/>
      <c r="B268" s="4" t="n"/>
      <c r="C268" s="5" t="n"/>
      <c r="D268" s="3" t="n"/>
      <c r="E268" s="4" t="n"/>
      <c r="F268" s="4" t="n"/>
      <c r="G268" s="5" t="n"/>
      <c r="H268" s="5" t="n"/>
      <c r="I268" s="5" t="n"/>
      <c r="J268" s="6">
        <f>IF(G268="","",G268-C268-H268-I268)</f>
        <v/>
      </c>
      <c r="K268" s="7">
        <f>IF(E268="","",IF(F268="",TODAY(),F268)-E268)</f>
        <v/>
      </c>
      <c r="L268" s="8">
        <f>IF(F268&lt;&gt;"","Sold",IF(E268&lt;&gt;"","Online",IF(A268&lt;&gt;"","In stock","")))</f>
        <v/>
      </c>
    </row>
    <row r="269">
      <c r="A269" s="3" t="n"/>
      <c r="B269" s="4" t="n"/>
      <c r="C269" s="5" t="n"/>
      <c r="D269" s="3" t="n"/>
      <c r="E269" s="4" t="n"/>
      <c r="F269" s="4" t="n"/>
      <c r="G269" s="5" t="n"/>
      <c r="H269" s="5" t="n"/>
      <c r="I269" s="5" t="n"/>
      <c r="J269" s="6">
        <f>IF(G269="","",G269-C269-H269-I269)</f>
        <v/>
      </c>
      <c r="K269" s="7">
        <f>IF(E269="","",IF(F269="",TODAY(),F269)-E269)</f>
        <v/>
      </c>
      <c r="L269" s="8">
        <f>IF(F269&lt;&gt;"","Sold",IF(E269&lt;&gt;"","Online",IF(A269&lt;&gt;"","In stock","")))</f>
        <v/>
      </c>
    </row>
    <row r="270">
      <c r="A270" s="3" t="n"/>
      <c r="B270" s="4" t="n"/>
      <c r="C270" s="5" t="n"/>
      <c r="D270" s="3" t="n"/>
      <c r="E270" s="4" t="n"/>
      <c r="F270" s="4" t="n"/>
      <c r="G270" s="5" t="n"/>
      <c r="H270" s="5" t="n"/>
      <c r="I270" s="5" t="n"/>
      <c r="J270" s="6">
        <f>IF(G270="","",G270-C270-H270-I270)</f>
        <v/>
      </c>
      <c r="K270" s="7">
        <f>IF(E270="","",IF(F270="",TODAY(),F270)-E270)</f>
        <v/>
      </c>
      <c r="L270" s="8">
        <f>IF(F270&lt;&gt;"","Sold",IF(E270&lt;&gt;"","Online",IF(A270&lt;&gt;"","In stock","")))</f>
        <v/>
      </c>
    </row>
    <row r="271">
      <c r="A271" s="3" t="n"/>
      <c r="B271" s="4" t="n"/>
      <c r="C271" s="5" t="n"/>
      <c r="D271" s="3" t="n"/>
      <c r="E271" s="4" t="n"/>
      <c r="F271" s="4" t="n"/>
      <c r="G271" s="5" t="n"/>
      <c r="H271" s="5" t="n"/>
      <c r="I271" s="5" t="n"/>
      <c r="J271" s="6">
        <f>IF(G271="","",G271-C271-H271-I271)</f>
        <v/>
      </c>
      <c r="K271" s="7">
        <f>IF(E271="","",IF(F271="",TODAY(),F271)-E271)</f>
        <v/>
      </c>
      <c r="L271" s="8">
        <f>IF(F271&lt;&gt;"","Sold",IF(E271&lt;&gt;"","Online",IF(A271&lt;&gt;"","In stock","")))</f>
        <v/>
      </c>
    </row>
    <row r="272">
      <c r="A272" s="3" t="n"/>
      <c r="B272" s="4" t="n"/>
      <c r="C272" s="5" t="n"/>
      <c r="D272" s="3" t="n"/>
      <c r="E272" s="4" t="n"/>
      <c r="F272" s="4" t="n"/>
      <c r="G272" s="5" t="n"/>
      <c r="H272" s="5" t="n"/>
      <c r="I272" s="5" t="n"/>
      <c r="J272" s="6">
        <f>IF(G272="","",G272-C272-H272-I272)</f>
        <v/>
      </c>
      <c r="K272" s="7">
        <f>IF(E272="","",IF(F272="",TODAY(),F272)-E272)</f>
        <v/>
      </c>
      <c r="L272" s="8">
        <f>IF(F272&lt;&gt;"","Sold",IF(E272&lt;&gt;"","Online",IF(A272&lt;&gt;"","In stock","")))</f>
        <v/>
      </c>
    </row>
    <row r="273">
      <c r="A273" s="3" t="n"/>
      <c r="B273" s="4" t="n"/>
      <c r="C273" s="5" t="n"/>
      <c r="D273" s="3" t="n"/>
      <c r="E273" s="4" t="n"/>
      <c r="F273" s="4" t="n"/>
      <c r="G273" s="5" t="n"/>
      <c r="H273" s="5" t="n"/>
      <c r="I273" s="5" t="n"/>
      <c r="J273" s="6">
        <f>IF(G273="","",G273-C273-H273-I273)</f>
        <v/>
      </c>
      <c r="K273" s="7">
        <f>IF(E273="","",IF(F273="",TODAY(),F273)-E273)</f>
        <v/>
      </c>
      <c r="L273" s="8">
        <f>IF(F273&lt;&gt;"","Sold",IF(E273&lt;&gt;"","Online",IF(A273&lt;&gt;"","In stock","")))</f>
        <v/>
      </c>
    </row>
    <row r="274">
      <c r="A274" s="3" t="n"/>
      <c r="B274" s="4" t="n"/>
      <c r="C274" s="5" t="n"/>
      <c r="D274" s="3" t="n"/>
      <c r="E274" s="4" t="n"/>
      <c r="F274" s="4" t="n"/>
      <c r="G274" s="5" t="n"/>
      <c r="H274" s="5" t="n"/>
      <c r="I274" s="5" t="n"/>
      <c r="J274" s="6">
        <f>IF(G274="","",G274-C274-H274-I274)</f>
        <v/>
      </c>
      <c r="K274" s="7">
        <f>IF(E274="","",IF(F274="",TODAY(),F274)-E274)</f>
        <v/>
      </c>
      <c r="L274" s="8">
        <f>IF(F274&lt;&gt;"","Sold",IF(E274&lt;&gt;"","Online",IF(A274&lt;&gt;"","In stock","")))</f>
        <v/>
      </c>
    </row>
    <row r="275">
      <c r="A275" s="3" t="n"/>
      <c r="B275" s="4" t="n"/>
      <c r="C275" s="5" t="n"/>
      <c r="D275" s="3" t="n"/>
      <c r="E275" s="4" t="n"/>
      <c r="F275" s="4" t="n"/>
      <c r="G275" s="5" t="n"/>
      <c r="H275" s="5" t="n"/>
      <c r="I275" s="5" t="n"/>
      <c r="J275" s="6">
        <f>IF(G275="","",G275-C275-H275-I275)</f>
        <v/>
      </c>
      <c r="K275" s="7">
        <f>IF(E275="","",IF(F275="",TODAY(),F275)-E275)</f>
        <v/>
      </c>
      <c r="L275" s="8">
        <f>IF(F275&lt;&gt;"","Sold",IF(E275&lt;&gt;"","Online",IF(A275&lt;&gt;"","In stock","")))</f>
        <v/>
      </c>
    </row>
    <row r="276">
      <c r="A276" s="3" t="n"/>
      <c r="B276" s="4" t="n"/>
      <c r="C276" s="5" t="n"/>
      <c r="D276" s="3" t="n"/>
      <c r="E276" s="4" t="n"/>
      <c r="F276" s="4" t="n"/>
      <c r="G276" s="5" t="n"/>
      <c r="H276" s="5" t="n"/>
      <c r="I276" s="5" t="n"/>
      <c r="J276" s="6">
        <f>IF(G276="","",G276-C276-H276-I276)</f>
        <v/>
      </c>
      <c r="K276" s="7">
        <f>IF(E276="","",IF(F276="",TODAY(),F276)-E276)</f>
        <v/>
      </c>
      <c r="L276" s="8">
        <f>IF(F276&lt;&gt;"","Sold",IF(E276&lt;&gt;"","Online",IF(A276&lt;&gt;"","In stock","")))</f>
        <v/>
      </c>
    </row>
    <row r="277">
      <c r="A277" s="3" t="n"/>
      <c r="B277" s="4" t="n"/>
      <c r="C277" s="5" t="n"/>
      <c r="D277" s="3" t="n"/>
      <c r="E277" s="4" t="n"/>
      <c r="F277" s="4" t="n"/>
      <c r="G277" s="5" t="n"/>
      <c r="H277" s="5" t="n"/>
      <c r="I277" s="5" t="n"/>
      <c r="J277" s="6">
        <f>IF(G277="","",G277-C277-H277-I277)</f>
        <v/>
      </c>
      <c r="K277" s="7">
        <f>IF(E277="","",IF(F277="",TODAY(),F277)-E277)</f>
        <v/>
      </c>
      <c r="L277" s="8">
        <f>IF(F277&lt;&gt;"","Sold",IF(E277&lt;&gt;"","Online",IF(A277&lt;&gt;"","In stock","")))</f>
        <v/>
      </c>
    </row>
    <row r="278">
      <c r="A278" s="3" t="n"/>
      <c r="B278" s="4" t="n"/>
      <c r="C278" s="5" t="n"/>
      <c r="D278" s="3" t="n"/>
      <c r="E278" s="4" t="n"/>
      <c r="F278" s="4" t="n"/>
      <c r="G278" s="5" t="n"/>
      <c r="H278" s="5" t="n"/>
      <c r="I278" s="5" t="n"/>
      <c r="J278" s="6">
        <f>IF(G278="","",G278-C278-H278-I278)</f>
        <v/>
      </c>
      <c r="K278" s="7">
        <f>IF(E278="","",IF(F278="",TODAY(),F278)-E278)</f>
        <v/>
      </c>
      <c r="L278" s="8">
        <f>IF(F278&lt;&gt;"","Sold",IF(E278&lt;&gt;"","Online",IF(A278&lt;&gt;"","In stock","")))</f>
        <v/>
      </c>
    </row>
    <row r="279">
      <c r="A279" s="3" t="n"/>
      <c r="B279" s="4" t="n"/>
      <c r="C279" s="5" t="n"/>
      <c r="D279" s="3" t="n"/>
      <c r="E279" s="4" t="n"/>
      <c r="F279" s="4" t="n"/>
      <c r="G279" s="5" t="n"/>
      <c r="H279" s="5" t="n"/>
      <c r="I279" s="5" t="n"/>
      <c r="J279" s="6">
        <f>IF(G279="","",G279-C279-H279-I279)</f>
        <v/>
      </c>
      <c r="K279" s="7">
        <f>IF(E279="","",IF(F279="",TODAY(),F279)-E279)</f>
        <v/>
      </c>
      <c r="L279" s="8">
        <f>IF(F279&lt;&gt;"","Sold",IF(E279&lt;&gt;"","Online",IF(A279&lt;&gt;"","In stock","")))</f>
        <v/>
      </c>
    </row>
    <row r="280">
      <c r="A280" s="3" t="n"/>
      <c r="B280" s="4" t="n"/>
      <c r="C280" s="5" t="n"/>
      <c r="D280" s="3" t="n"/>
      <c r="E280" s="4" t="n"/>
      <c r="F280" s="4" t="n"/>
      <c r="G280" s="5" t="n"/>
      <c r="H280" s="5" t="n"/>
      <c r="I280" s="5" t="n"/>
      <c r="J280" s="6">
        <f>IF(G280="","",G280-C280-H280-I280)</f>
        <v/>
      </c>
      <c r="K280" s="7">
        <f>IF(E280="","",IF(F280="",TODAY(),F280)-E280)</f>
        <v/>
      </c>
      <c r="L280" s="8">
        <f>IF(F280&lt;&gt;"","Sold",IF(E280&lt;&gt;"","Online",IF(A280&lt;&gt;"","In stock","")))</f>
        <v/>
      </c>
    </row>
    <row r="281">
      <c r="A281" s="3" t="n"/>
      <c r="B281" s="4" t="n"/>
      <c r="C281" s="5" t="n"/>
      <c r="D281" s="3" t="n"/>
      <c r="E281" s="4" t="n"/>
      <c r="F281" s="4" t="n"/>
      <c r="G281" s="5" t="n"/>
      <c r="H281" s="5" t="n"/>
      <c r="I281" s="5" t="n"/>
      <c r="J281" s="6">
        <f>IF(G281="","",G281-C281-H281-I281)</f>
        <v/>
      </c>
      <c r="K281" s="7">
        <f>IF(E281="","",IF(F281="",TODAY(),F281)-E281)</f>
        <v/>
      </c>
      <c r="L281" s="8">
        <f>IF(F281&lt;&gt;"","Sold",IF(E281&lt;&gt;"","Online",IF(A281&lt;&gt;"","In stock","")))</f>
        <v/>
      </c>
    </row>
    <row r="282">
      <c r="A282" s="3" t="n"/>
      <c r="B282" s="4" t="n"/>
      <c r="C282" s="5" t="n"/>
      <c r="D282" s="3" t="n"/>
      <c r="E282" s="4" t="n"/>
      <c r="F282" s="4" t="n"/>
      <c r="G282" s="5" t="n"/>
      <c r="H282" s="5" t="n"/>
      <c r="I282" s="5" t="n"/>
      <c r="J282" s="6">
        <f>IF(G282="","",G282-C282-H282-I282)</f>
        <v/>
      </c>
      <c r="K282" s="7">
        <f>IF(E282="","",IF(F282="",TODAY(),F282)-E282)</f>
        <v/>
      </c>
      <c r="L282" s="8">
        <f>IF(F282&lt;&gt;"","Sold",IF(E282&lt;&gt;"","Online",IF(A282&lt;&gt;"","In stock","")))</f>
        <v/>
      </c>
    </row>
    <row r="283">
      <c r="A283" s="3" t="n"/>
      <c r="B283" s="4" t="n"/>
      <c r="C283" s="5" t="n"/>
      <c r="D283" s="3" t="n"/>
      <c r="E283" s="4" t="n"/>
      <c r="F283" s="4" t="n"/>
      <c r="G283" s="5" t="n"/>
      <c r="H283" s="5" t="n"/>
      <c r="I283" s="5" t="n"/>
      <c r="J283" s="6">
        <f>IF(G283="","",G283-C283-H283-I283)</f>
        <v/>
      </c>
      <c r="K283" s="7">
        <f>IF(E283="","",IF(F283="",TODAY(),F283)-E283)</f>
        <v/>
      </c>
      <c r="L283" s="8">
        <f>IF(F283&lt;&gt;"","Sold",IF(E283&lt;&gt;"","Online",IF(A283&lt;&gt;"","In stock","")))</f>
        <v/>
      </c>
    </row>
    <row r="284">
      <c r="A284" s="3" t="n"/>
      <c r="B284" s="4" t="n"/>
      <c r="C284" s="5" t="n"/>
      <c r="D284" s="3" t="n"/>
      <c r="E284" s="4" t="n"/>
      <c r="F284" s="4" t="n"/>
      <c r="G284" s="5" t="n"/>
      <c r="H284" s="5" t="n"/>
      <c r="I284" s="5" t="n"/>
      <c r="J284" s="6">
        <f>IF(G284="","",G284-C284-H284-I284)</f>
        <v/>
      </c>
      <c r="K284" s="7">
        <f>IF(E284="","",IF(F284="",TODAY(),F284)-E284)</f>
        <v/>
      </c>
      <c r="L284" s="8">
        <f>IF(F284&lt;&gt;"","Sold",IF(E284&lt;&gt;"","Online",IF(A284&lt;&gt;"","In stock","")))</f>
        <v/>
      </c>
    </row>
    <row r="285">
      <c r="A285" s="3" t="n"/>
      <c r="B285" s="4" t="n"/>
      <c r="C285" s="5" t="n"/>
      <c r="D285" s="3" t="n"/>
      <c r="E285" s="4" t="n"/>
      <c r="F285" s="4" t="n"/>
      <c r="G285" s="5" t="n"/>
      <c r="H285" s="5" t="n"/>
      <c r="I285" s="5" t="n"/>
      <c r="J285" s="6">
        <f>IF(G285="","",G285-C285-H285-I285)</f>
        <v/>
      </c>
      <c r="K285" s="7">
        <f>IF(E285="","",IF(F285="",TODAY(),F285)-E285)</f>
        <v/>
      </c>
      <c r="L285" s="8">
        <f>IF(F285&lt;&gt;"","Sold",IF(E285&lt;&gt;"","Online",IF(A285&lt;&gt;"","In stock","")))</f>
        <v/>
      </c>
    </row>
    <row r="286">
      <c r="A286" s="3" t="n"/>
      <c r="B286" s="4" t="n"/>
      <c r="C286" s="5" t="n"/>
      <c r="D286" s="3" t="n"/>
      <c r="E286" s="4" t="n"/>
      <c r="F286" s="4" t="n"/>
      <c r="G286" s="5" t="n"/>
      <c r="H286" s="5" t="n"/>
      <c r="I286" s="5" t="n"/>
      <c r="J286" s="6">
        <f>IF(G286="","",G286-C286-H286-I286)</f>
        <v/>
      </c>
      <c r="K286" s="7">
        <f>IF(E286="","",IF(F286="",TODAY(),F286)-E286)</f>
        <v/>
      </c>
      <c r="L286" s="8">
        <f>IF(F286&lt;&gt;"","Sold",IF(E286&lt;&gt;"","Online",IF(A286&lt;&gt;"","In stock","")))</f>
        <v/>
      </c>
    </row>
    <row r="287">
      <c r="A287" s="3" t="n"/>
      <c r="B287" s="4" t="n"/>
      <c r="C287" s="5" t="n"/>
      <c r="D287" s="3" t="n"/>
      <c r="E287" s="4" t="n"/>
      <c r="F287" s="4" t="n"/>
      <c r="G287" s="5" t="n"/>
      <c r="H287" s="5" t="n"/>
      <c r="I287" s="5" t="n"/>
      <c r="J287" s="6">
        <f>IF(G287="","",G287-C287-H287-I287)</f>
        <v/>
      </c>
      <c r="K287" s="7">
        <f>IF(E287="","",IF(F287="",TODAY(),F287)-E287)</f>
        <v/>
      </c>
      <c r="L287" s="8">
        <f>IF(F287&lt;&gt;"","Sold",IF(E287&lt;&gt;"","Online",IF(A287&lt;&gt;"","In stock","")))</f>
        <v/>
      </c>
    </row>
    <row r="288">
      <c r="A288" s="3" t="n"/>
      <c r="B288" s="4" t="n"/>
      <c r="C288" s="5" t="n"/>
      <c r="D288" s="3" t="n"/>
      <c r="E288" s="4" t="n"/>
      <c r="F288" s="4" t="n"/>
      <c r="G288" s="5" t="n"/>
      <c r="H288" s="5" t="n"/>
      <c r="I288" s="5" t="n"/>
      <c r="J288" s="6">
        <f>IF(G288="","",G288-C288-H288-I288)</f>
        <v/>
      </c>
      <c r="K288" s="7">
        <f>IF(E288="","",IF(F288="",TODAY(),F288)-E288)</f>
        <v/>
      </c>
      <c r="L288" s="8">
        <f>IF(F288&lt;&gt;"","Sold",IF(E288&lt;&gt;"","Online",IF(A288&lt;&gt;"","In stock","")))</f>
        <v/>
      </c>
    </row>
    <row r="289">
      <c r="A289" s="3" t="n"/>
      <c r="B289" s="4" t="n"/>
      <c r="C289" s="5" t="n"/>
      <c r="D289" s="3" t="n"/>
      <c r="E289" s="4" t="n"/>
      <c r="F289" s="4" t="n"/>
      <c r="G289" s="5" t="n"/>
      <c r="H289" s="5" t="n"/>
      <c r="I289" s="5" t="n"/>
      <c r="J289" s="6">
        <f>IF(G289="","",G289-C289-H289-I289)</f>
        <v/>
      </c>
      <c r="K289" s="7">
        <f>IF(E289="","",IF(F289="",TODAY(),F289)-E289)</f>
        <v/>
      </c>
      <c r="L289" s="8">
        <f>IF(F289&lt;&gt;"","Sold",IF(E289&lt;&gt;"","Online",IF(A289&lt;&gt;"","In stock","")))</f>
        <v/>
      </c>
    </row>
    <row r="290">
      <c r="A290" s="3" t="n"/>
      <c r="B290" s="4" t="n"/>
      <c r="C290" s="5" t="n"/>
      <c r="D290" s="3" t="n"/>
      <c r="E290" s="4" t="n"/>
      <c r="F290" s="4" t="n"/>
      <c r="G290" s="5" t="n"/>
      <c r="H290" s="5" t="n"/>
      <c r="I290" s="5" t="n"/>
      <c r="J290" s="6">
        <f>IF(G290="","",G290-C290-H290-I290)</f>
        <v/>
      </c>
      <c r="K290" s="7">
        <f>IF(E290="","",IF(F290="",TODAY(),F290)-E290)</f>
        <v/>
      </c>
      <c r="L290" s="8">
        <f>IF(F290&lt;&gt;"","Sold",IF(E290&lt;&gt;"","Online",IF(A290&lt;&gt;"","In stock","")))</f>
        <v/>
      </c>
    </row>
    <row r="291">
      <c r="A291" s="3" t="n"/>
      <c r="B291" s="4" t="n"/>
      <c r="C291" s="5" t="n"/>
      <c r="D291" s="3" t="n"/>
      <c r="E291" s="4" t="n"/>
      <c r="F291" s="4" t="n"/>
      <c r="G291" s="5" t="n"/>
      <c r="H291" s="5" t="n"/>
      <c r="I291" s="5" t="n"/>
      <c r="J291" s="6">
        <f>IF(G291="","",G291-C291-H291-I291)</f>
        <v/>
      </c>
      <c r="K291" s="7">
        <f>IF(E291="","",IF(F291="",TODAY(),F291)-E291)</f>
        <v/>
      </c>
      <c r="L291" s="8">
        <f>IF(F291&lt;&gt;"","Sold",IF(E291&lt;&gt;"","Online",IF(A291&lt;&gt;"","In stock","")))</f>
        <v/>
      </c>
    </row>
    <row r="292">
      <c r="A292" s="3" t="n"/>
      <c r="B292" s="4" t="n"/>
      <c r="C292" s="5" t="n"/>
      <c r="D292" s="3" t="n"/>
      <c r="E292" s="4" t="n"/>
      <c r="F292" s="4" t="n"/>
      <c r="G292" s="5" t="n"/>
      <c r="H292" s="5" t="n"/>
      <c r="I292" s="5" t="n"/>
      <c r="J292" s="6">
        <f>IF(G292="","",G292-C292-H292-I292)</f>
        <v/>
      </c>
      <c r="K292" s="7">
        <f>IF(E292="","",IF(F292="",TODAY(),F292)-E292)</f>
        <v/>
      </c>
      <c r="L292" s="8">
        <f>IF(F292&lt;&gt;"","Sold",IF(E292&lt;&gt;"","Online",IF(A292&lt;&gt;"","In stock","")))</f>
        <v/>
      </c>
    </row>
    <row r="293">
      <c r="A293" s="3" t="n"/>
      <c r="B293" s="4" t="n"/>
      <c r="C293" s="5" t="n"/>
      <c r="D293" s="3" t="n"/>
      <c r="E293" s="4" t="n"/>
      <c r="F293" s="4" t="n"/>
      <c r="G293" s="5" t="n"/>
      <c r="H293" s="5" t="n"/>
      <c r="I293" s="5" t="n"/>
      <c r="J293" s="6">
        <f>IF(G293="","",G293-C293-H293-I293)</f>
        <v/>
      </c>
      <c r="K293" s="7">
        <f>IF(E293="","",IF(F293="",TODAY(),F293)-E293)</f>
        <v/>
      </c>
      <c r="L293" s="8">
        <f>IF(F293&lt;&gt;"","Sold",IF(E293&lt;&gt;"","Online",IF(A293&lt;&gt;"","In stock","")))</f>
        <v/>
      </c>
    </row>
    <row r="294">
      <c r="A294" s="3" t="n"/>
      <c r="B294" s="4" t="n"/>
      <c r="C294" s="5" t="n"/>
      <c r="D294" s="3" t="n"/>
      <c r="E294" s="4" t="n"/>
      <c r="F294" s="4" t="n"/>
      <c r="G294" s="5" t="n"/>
      <c r="H294" s="5" t="n"/>
      <c r="I294" s="5" t="n"/>
      <c r="J294" s="6">
        <f>IF(G294="","",G294-C294-H294-I294)</f>
        <v/>
      </c>
      <c r="K294" s="7">
        <f>IF(E294="","",IF(F294="",TODAY(),F294)-E294)</f>
        <v/>
      </c>
      <c r="L294" s="8">
        <f>IF(F294&lt;&gt;"","Sold",IF(E294&lt;&gt;"","Online",IF(A294&lt;&gt;"","In stock","")))</f>
        <v/>
      </c>
    </row>
    <row r="295">
      <c r="A295" s="3" t="n"/>
      <c r="B295" s="4" t="n"/>
      <c r="C295" s="5" t="n"/>
      <c r="D295" s="3" t="n"/>
      <c r="E295" s="4" t="n"/>
      <c r="F295" s="4" t="n"/>
      <c r="G295" s="5" t="n"/>
      <c r="H295" s="5" t="n"/>
      <c r="I295" s="5" t="n"/>
      <c r="J295" s="6">
        <f>IF(G295="","",G295-C295-H295-I295)</f>
        <v/>
      </c>
      <c r="K295" s="7">
        <f>IF(E295="","",IF(F295="",TODAY(),F295)-E295)</f>
        <v/>
      </c>
      <c r="L295" s="8">
        <f>IF(F295&lt;&gt;"","Sold",IF(E295&lt;&gt;"","Online",IF(A295&lt;&gt;"","In stock","")))</f>
        <v/>
      </c>
    </row>
    <row r="296">
      <c r="A296" s="3" t="n"/>
      <c r="B296" s="4" t="n"/>
      <c r="C296" s="5" t="n"/>
      <c r="D296" s="3" t="n"/>
      <c r="E296" s="4" t="n"/>
      <c r="F296" s="4" t="n"/>
      <c r="G296" s="5" t="n"/>
      <c r="H296" s="5" t="n"/>
      <c r="I296" s="5" t="n"/>
      <c r="J296" s="6">
        <f>IF(G296="","",G296-C296-H296-I296)</f>
        <v/>
      </c>
      <c r="K296" s="7">
        <f>IF(E296="","",IF(F296="",TODAY(),F296)-E296)</f>
        <v/>
      </c>
      <c r="L296" s="8">
        <f>IF(F296&lt;&gt;"","Sold",IF(E296&lt;&gt;"","Online",IF(A296&lt;&gt;"","In stock","")))</f>
        <v/>
      </c>
    </row>
    <row r="297">
      <c r="A297" s="3" t="n"/>
      <c r="B297" s="4" t="n"/>
      <c r="C297" s="5" t="n"/>
      <c r="D297" s="3" t="n"/>
      <c r="E297" s="4" t="n"/>
      <c r="F297" s="4" t="n"/>
      <c r="G297" s="5" t="n"/>
      <c r="H297" s="5" t="n"/>
      <c r="I297" s="5" t="n"/>
      <c r="J297" s="6">
        <f>IF(G297="","",G297-C297-H297-I297)</f>
        <v/>
      </c>
      <c r="K297" s="7">
        <f>IF(E297="","",IF(F297="",TODAY(),F297)-E297)</f>
        <v/>
      </c>
      <c r="L297" s="8">
        <f>IF(F297&lt;&gt;"","Sold",IF(E297&lt;&gt;"","Online",IF(A297&lt;&gt;"","In stock","")))</f>
        <v/>
      </c>
    </row>
    <row r="298">
      <c r="A298" s="3" t="n"/>
      <c r="B298" s="4" t="n"/>
      <c r="C298" s="5" t="n"/>
      <c r="D298" s="3" t="n"/>
      <c r="E298" s="4" t="n"/>
      <c r="F298" s="4" t="n"/>
      <c r="G298" s="5" t="n"/>
      <c r="H298" s="5" t="n"/>
      <c r="I298" s="5" t="n"/>
      <c r="J298" s="6">
        <f>IF(G298="","",G298-C298-H298-I298)</f>
        <v/>
      </c>
      <c r="K298" s="7">
        <f>IF(E298="","",IF(F298="",TODAY(),F298)-E298)</f>
        <v/>
      </c>
      <c r="L298" s="8">
        <f>IF(F298&lt;&gt;"","Sold",IF(E298&lt;&gt;"","Online",IF(A298&lt;&gt;"","In stock","")))</f>
        <v/>
      </c>
    </row>
    <row r="299">
      <c r="A299" s="3" t="n"/>
      <c r="B299" s="4" t="n"/>
      <c r="C299" s="5" t="n"/>
      <c r="D299" s="3" t="n"/>
      <c r="E299" s="4" t="n"/>
      <c r="F299" s="4" t="n"/>
      <c r="G299" s="5" t="n"/>
      <c r="H299" s="5" t="n"/>
      <c r="I299" s="5" t="n"/>
      <c r="J299" s="6">
        <f>IF(G299="","",G299-C299-H299-I299)</f>
        <v/>
      </c>
      <c r="K299" s="7">
        <f>IF(E299="","",IF(F299="",TODAY(),F299)-E299)</f>
        <v/>
      </c>
      <c r="L299" s="8">
        <f>IF(F299&lt;&gt;"","Sold",IF(E299&lt;&gt;"","Online",IF(A299&lt;&gt;"","In stock","")))</f>
        <v/>
      </c>
    </row>
    <row r="300">
      <c r="A300" s="3" t="n"/>
      <c r="B300" s="4" t="n"/>
      <c r="C300" s="5" t="n"/>
      <c r="D300" s="3" t="n"/>
      <c r="E300" s="4" t="n"/>
      <c r="F300" s="4" t="n"/>
      <c r="G300" s="5" t="n"/>
      <c r="H300" s="5" t="n"/>
      <c r="I300" s="5" t="n"/>
      <c r="J300" s="6">
        <f>IF(G300="","",G300-C300-H300-I300)</f>
        <v/>
      </c>
      <c r="K300" s="7">
        <f>IF(E300="","",IF(F300="",TODAY(),F300)-E300)</f>
        <v/>
      </c>
      <c r="L300" s="8">
        <f>IF(F300&lt;&gt;"","Sold",IF(E300&lt;&gt;"","Online",IF(A300&lt;&gt;"","In stock","")))</f>
        <v/>
      </c>
    </row>
    <row r="301">
      <c r="A301" s="3" t="n"/>
      <c r="B301" s="4" t="n"/>
      <c r="C301" s="5" t="n"/>
      <c r="D301" s="3" t="n"/>
      <c r="E301" s="4" t="n"/>
      <c r="F301" s="4" t="n"/>
      <c r="G301" s="5" t="n"/>
      <c r="H301" s="5" t="n"/>
      <c r="I301" s="5" t="n"/>
      <c r="J301" s="6">
        <f>IF(G301="","",G301-C301-H301-I301)</f>
        <v/>
      </c>
      <c r="K301" s="7">
        <f>IF(E301="","",IF(F301="",TODAY(),F301)-E301)</f>
        <v/>
      </c>
      <c r="L301" s="8">
        <f>IF(F301&lt;&gt;"","Sold",IF(E301&lt;&gt;"","Online",IF(A301&lt;&gt;"","In stock","")))</f>
        <v/>
      </c>
    </row>
    <row r="302">
      <c r="A302" s="3" t="n"/>
      <c r="B302" s="4" t="n"/>
      <c r="C302" s="5" t="n"/>
      <c r="D302" s="3" t="n"/>
      <c r="E302" s="4" t="n"/>
      <c r="F302" s="4" t="n"/>
      <c r="G302" s="5" t="n"/>
      <c r="H302" s="5" t="n"/>
      <c r="I302" s="5" t="n"/>
      <c r="J302" s="6">
        <f>IF(G302="","",G302-C302-H302-I302)</f>
        <v/>
      </c>
      <c r="K302" s="7">
        <f>IF(E302="","",IF(F302="",TODAY(),F302)-E302)</f>
        <v/>
      </c>
      <c r="L302" s="8">
        <f>IF(F302&lt;&gt;"","Sold",IF(E302&lt;&gt;"","Online",IF(A302&lt;&gt;"","In stock","")))</f>
        <v/>
      </c>
    </row>
    <row r="303">
      <c r="A303" s="3" t="n"/>
      <c r="B303" s="4" t="n"/>
      <c r="C303" s="5" t="n"/>
      <c r="D303" s="3" t="n"/>
      <c r="E303" s="4" t="n"/>
      <c r="F303" s="4" t="n"/>
      <c r="G303" s="5" t="n"/>
      <c r="H303" s="5" t="n"/>
      <c r="I303" s="5" t="n"/>
      <c r="J303" s="6">
        <f>IF(G303="","",G303-C303-H303-I303)</f>
        <v/>
      </c>
      <c r="K303" s="7">
        <f>IF(E303="","",IF(F303="",TODAY(),F303)-E303)</f>
        <v/>
      </c>
      <c r="L303" s="8">
        <f>IF(F303&lt;&gt;"","Sold",IF(E303&lt;&gt;"","Online",IF(A303&lt;&gt;"","In stock","")))</f>
        <v/>
      </c>
    </row>
    <row r="304">
      <c r="A304" s="3" t="n"/>
      <c r="B304" s="4" t="n"/>
      <c r="C304" s="5" t="n"/>
      <c r="D304" s="3" t="n"/>
      <c r="E304" s="4" t="n"/>
      <c r="F304" s="4" t="n"/>
      <c r="G304" s="5" t="n"/>
      <c r="H304" s="5" t="n"/>
      <c r="I304" s="5" t="n"/>
      <c r="J304" s="6">
        <f>IF(G304="","",G304-C304-H304-I304)</f>
        <v/>
      </c>
      <c r="K304" s="7">
        <f>IF(E304="","",IF(F304="",TODAY(),F304)-E304)</f>
        <v/>
      </c>
      <c r="L304" s="8">
        <f>IF(F304&lt;&gt;"","Sold",IF(E304&lt;&gt;"","Online",IF(A304&lt;&gt;"","In stock","")))</f>
        <v/>
      </c>
    </row>
    <row r="305">
      <c r="A305" s="3" t="n"/>
      <c r="B305" s="4" t="n"/>
      <c r="C305" s="5" t="n"/>
      <c r="D305" s="3" t="n"/>
      <c r="E305" s="4" t="n"/>
      <c r="F305" s="4" t="n"/>
      <c r="G305" s="5" t="n"/>
      <c r="H305" s="5" t="n"/>
      <c r="I305" s="5" t="n"/>
      <c r="J305" s="6">
        <f>IF(G305="","",G305-C305-H305-I305)</f>
        <v/>
      </c>
      <c r="K305" s="7">
        <f>IF(E305="","",IF(F305="",TODAY(),F305)-E305)</f>
        <v/>
      </c>
      <c r="L305" s="8">
        <f>IF(F305&lt;&gt;"","Sold",IF(E305&lt;&gt;"","Online",IF(A305&lt;&gt;"","In stock","")))</f>
        <v/>
      </c>
    </row>
    <row r="306">
      <c r="A306" s="3" t="n"/>
      <c r="B306" s="4" t="n"/>
      <c r="C306" s="5" t="n"/>
      <c r="D306" s="3" t="n"/>
      <c r="E306" s="4" t="n"/>
      <c r="F306" s="4" t="n"/>
      <c r="G306" s="5" t="n"/>
      <c r="H306" s="5" t="n"/>
      <c r="I306" s="5" t="n"/>
      <c r="J306" s="6">
        <f>IF(G306="","",G306-C306-H306-I306)</f>
        <v/>
      </c>
      <c r="K306" s="7">
        <f>IF(E306="","",IF(F306="",TODAY(),F306)-E306)</f>
        <v/>
      </c>
      <c r="L306" s="8">
        <f>IF(F306&lt;&gt;"","Sold",IF(E306&lt;&gt;"","Online",IF(A306&lt;&gt;"","In stock","")))</f>
        <v/>
      </c>
    </row>
    <row r="307">
      <c r="A307" s="3" t="n"/>
      <c r="B307" s="4" t="n"/>
      <c r="C307" s="5" t="n"/>
      <c r="D307" s="3" t="n"/>
      <c r="E307" s="4" t="n"/>
      <c r="F307" s="4" t="n"/>
      <c r="G307" s="5" t="n"/>
      <c r="H307" s="5" t="n"/>
      <c r="I307" s="5" t="n"/>
      <c r="J307" s="6">
        <f>IF(G307="","",G307-C307-H307-I307)</f>
        <v/>
      </c>
      <c r="K307" s="7">
        <f>IF(E307="","",IF(F307="",TODAY(),F307)-E307)</f>
        <v/>
      </c>
      <c r="L307" s="8">
        <f>IF(F307&lt;&gt;"","Sold",IF(E307&lt;&gt;"","Online",IF(A307&lt;&gt;"","In stock","")))</f>
        <v/>
      </c>
    </row>
    <row r="308">
      <c r="A308" s="3" t="n"/>
      <c r="B308" s="4" t="n"/>
      <c r="C308" s="5" t="n"/>
      <c r="D308" s="3" t="n"/>
      <c r="E308" s="4" t="n"/>
      <c r="F308" s="4" t="n"/>
      <c r="G308" s="5" t="n"/>
      <c r="H308" s="5" t="n"/>
      <c r="I308" s="5" t="n"/>
      <c r="J308" s="6">
        <f>IF(G308="","",G308-C308-H308-I308)</f>
        <v/>
      </c>
      <c r="K308" s="7">
        <f>IF(E308="","",IF(F308="",TODAY(),F308)-E308)</f>
        <v/>
      </c>
      <c r="L308" s="8">
        <f>IF(F308&lt;&gt;"","Sold",IF(E308&lt;&gt;"","Online",IF(A308&lt;&gt;"","In stock","")))</f>
        <v/>
      </c>
    </row>
    <row r="309">
      <c r="A309" s="3" t="n"/>
      <c r="B309" s="4" t="n"/>
      <c r="C309" s="5" t="n"/>
      <c r="D309" s="3" t="n"/>
      <c r="E309" s="4" t="n"/>
      <c r="F309" s="4" t="n"/>
      <c r="G309" s="5" t="n"/>
      <c r="H309" s="5" t="n"/>
      <c r="I309" s="5" t="n"/>
      <c r="J309" s="6">
        <f>IF(G309="","",G309-C309-H309-I309)</f>
        <v/>
      </c>
      <c r="K309" s="7">
        <f>IF(E309="","",IF(F309="",TODAY(),F309)-E309)</f>
        <v/>
      </c>
      <c r="L309" s="8">
        <f>IF(F309&lt;&gt;"","Sold",IF(E309&lt;&gt;"","Online",IF(A309&lt;&gt;"","In stock","")))</f>
        <v/>
      </c>
    </row>
    <row r="310">
      <c r="A310" s="3" t="n"/>
      <c r="B310" s="4" t="n"/>
      <c r="C310" s="5" t="n"/>
      <c r="D310" s="3" t="n"/>
      <c r="E310" s="4" t="n"/>
      <c r="F310" s="4" t="n"/>
      <c r="G310" s="5" t="n"/>
      <c r="H310" s="5" t="n"/>
      <c r="I310" s="5" t="n"/>
      <c r="J310" s="6">
        <f>IF(G310="","",G310-C310-H310-I310)</f>
        <v/>
      </c>
      <c r="K310" s="7">
        <f>IF(E310="","",IF(F310="",TODAY(),F310)-E310)</f>
        <v/>
      </c>
      <c r="L310" s="8">
        <f>IF(F310&lt;&gt;"","Sold",IF(E310&lt;&gt;"","Online",IF(A310&lt;&gt;"","In stock","")))</f>
        <v/>
      </c>
    </row>
    <row r="311">
      <c r="A311" s="3" t="n"/>
      <c r="B311" s="4" t="n"/>
      <c r="C311" s="5" t="n"/>
      <c r="D311" s="3" t="n"/>
      <c r="E311" s="4" t="n"/>
      <c r="F311" s="4" t="n"/>
      <c r="G311" s="5" t="n"/>
      <c r="H311" s="5" t="n"/>
      <c r="I311" s="5" t="n"/>
      <c r="J311" s="6">
        <f>IF(G311="","",G311-C311-H311-I311)</f>
        <v/>
      </c>
      <c r="K311" s="7">
        <f>IF(E311="","",IF(F311="",TODAY(),F311)-E311)</f>
        <v/>
      </c>
      <c r="L311" s="8">
        <f>IF(F311&lt;&gt;"","Sold",IF(E311&lt;&gt;"","Online",IF(A311&lt;&gt;"","In stock","")))</f>
        <v/>
      </c>
    </row>
    <row r="312">
      <c r="A312" s="3" t="n"/>
      <c r="B312" s="4" t="n"/>
      <c r="C312" s="5" t="n"/>
      <c r="D312" s="3" t="n"/>
      <c r="E312" s="4" t="n"/>
      <c r="F312" s="4" t="n"/>
      <c r="G312" s="5" t="n"/>
      <c r="H312" s="5" t="n"/>
      <c r="I312" s="5" t="n"/>
      <c r="J312" s="6">
        <f>IF(G312="","",G312-C312-H312-I312)</f>
        <v/>
      </c>
      <c r="K312" s="7">
        <f>IF(E312="","",IF(F312="",TODAY(),F312)-E312)</f>
        <v/>
      </c>
      <c r="L312" s="8">
        <f>IF(F312&lt;&gt;"","Sold",IF(E312&lt;&gt;"","Online",IF(A312&lt;&gt;"","In stock","")))</f>
        <v/>
      </c>
    </row>
    <row r="313">
      <c r="A313" s="3" t="n"/>
      <c r="B313" s="4" t="n"/>
      <c r="C313" s="5" t="n"/>
      <c r="D313" s="3" t="n"/>
      <c r="E313" s="4" t="n"/>
      <c r="F313" s="4" t="n"/>
      <c r="G313" s="5" t="n"/>
      <c r="H313" s="5" t="n"/>
      <c r="I313" s="5" t="n"/>
      <c r="J313" s="6">
        <f>IF(G313="","",G313-C313-H313-I313)</f>
        <v/>
      </c>
      <c r="K313" s="7">
        <f>IF(E313="","",IF(F313="",TODAY(),F313)-E313)</f>
        <v/>
      </c>
      <c r="L313" s="8">
        <f>IF(F313&lt;&gt;"","Sold",IF(E313&lt;&gt;"","Online",IF(A313&lt;&gt;"","In stock","")))</f>
        <v/>
      </c>
    </row>
    <row r="314">
      <c r="A314" s="3" t="n"/>
      <c r="B314" s="4" t="n"/>
      <c r="C314" s="5" t="n"/>
      <c r="D314" s="3" t="n"/>
      <c r="E314" s="4" t="n"/>
      <c r="F314" s="4" t="n"/>
      <c r="G314" s="5" t="n"/>
      <c r="H314" s="5" t="n"/>
      <c r="I314" s="5" t="n"/>
      <c r="J314" s="6">
        <f>IF(G314="","",G314-C314-H314-I314)</f>
        <v/>
      </c>
      <c r="K314" s="7">
        <f>IF(E314="","",IF(F314="",TODAY(),F314)-E314)</f>
        <v/>
      </c>
      <c r="L314" s="8">
        <f>IF(F314&lt;&gt;"","Sold",IF(E314&lt;&gt;"","Online",IF(A314&lt;&gt;"","In stock","")))</f>
        <v/>
      </c>
    </row>
    <row r="315">
      <c r="A315" s="3" t="n"/>
      <c r="B315" s="4" t="n"/>
      <c r="C315" s="5" t="n"/>
      <c r="D315" s="3" t="n"/>
      <c r="E315" s="4" t="n"/>
      <c r="F315" s="4" t="n"/>
      <c r="G315" s="5" t="n"/>
      <c r="H315" s="5" t="n"/>
      <c r="I315" s="5" t="n"/>
      <c r="J315" s="6">
        <f>IF(G315="","",G315-C315-H315-I315)</f>
        <v/>
      </c>
      <c r="K315" s="7">
        <f>IF(E315="","",IF(F315="",TODAY(),F315)-E315)</f>
        <v/>
      </c>
      <c r="L315" s="8">
        <f>IF(F315&lt;&gt;"","Sold",IF(E315&lt;&gt;"","Online",IF(A315&lt;&gt;"","In stock","")))</f>
        <v/>
      </c>
    </row>
    <row r="316">
      <c r="A316" s="3" t="n"/>
      <c r="B316" s="4" t="n"/>
      <c r="C316" s="5" t="n"/>
      <c r="D316" s="3" t="n"/>
      <c r="E316" s="4" t="n"/>
      <c r="F316" s="4" t="n"/>
      <c r="G316" s="5" t="n"/>
      <c r="H316" s="5" t="n"/>
      <c r="I316" s="5" t="n"/>
      <c r="J316" s="6">
        <f>IF(G316="","",G316-C316-H316-I316)</f>
        <v/>
      </c>
      <c r="K316" s="7">
        <f>IF(E316="","",IF(F316="",TODAY(),F316)-E316)</f>
        <v/>
      </c>
      <c r="L316" s="8">
        <f>IF(F316&lt;&gt;"","Sold",IF(E316&lt;&gt;"","Online",IF(A316&lt;&gt;"","In stock","")))</f>
        <v/>
      </c>
    </row>
    <row r="317">
      <c r="A317" s="3" t="n"/>
      <c r="B317" s="4" t="n"/>
      <c r="C317" s="5" t="n"/>
      <c r="D317" s="3" t="n"/>
      <c r="E317" s="4" t="n"/>
      <c r="F317" s="4" t="n"/>
      <c r="G317" s="5" t="n"/>
      <c r="H317" s="5" t="n"/>
      <c r="I317" s="5" t="n"/>
      <c r="J317" s="6">
        <f>IF(G317="","",G317-C317-H317-I317)</f>
        <v/>
      </c>
      <c r="K317" s="7">
        <f>IF(E317="","",IF(F317="",TODAY(),F317)-E317)</f>
        <v/>
      </c>
      <c r="L317" s="8">
        <f>IF(F317&lt;&gt;"","Sold",IF(E317&lt;&gt;"","Online",IF(A317&lt;&gt;"","In stock","")))</f>
        <v/>
      </c>
    </row>
    <row r="318">
      <c r="A318" s="3" t="n"/>
      <c r="B318" s="4" t="n"/>
      <c r="C318" s="5" t="n"/>
      <c r="D318" s="3" t="n"/>
      <c r="E318" s="4" t="n"/>
      <c r="F318" s="4" t="n"/>
      <c r="G318" s="5" t="n"/>
      <c r="H318" s="5" t="n"/>
      <c r="I318" s="5" t="n"/>
      <c r="J318" s="6">
        <f>IF(G318="","",G318-C318-H318-I318)</f>
        <v/>
      </c>
      <c r="K318" s="7">
        <f>IF(E318="","",IF(F318="",TODAY(),F318)-E318)</f>
        <v/>
      </c>
      <c r="L318" s="8">
        <f>IF(F318&lt;&gt;"","Sold",IF(E318&lt;&gt;"","Online",IF(A318&lt;&gt;"","In stock","")))</f>
        <v/>
      </c>
    </row>
    <row r="319">
      <c r="A319" s="3" t="n"/>
      <c r="B319" s="4" t="n"/>
      <c r="C319" s="5" t="n"/>
      <c r="D319" s="3" t="n"/>
      <c r="E319" s="4" t="n"/>
      <c r="F319" s="4" t="n"/>
      <c r="G319" s="5" t="n"/>
      <c r="H319" s="5" t="n"/>
      <c r="I319" s="5" t="n"/>
      <c r="J319" s="6">
        <f>IF(G319="","",G319-C319-H319-I319)</f>
        <v/>
      </c>
      <c r="K319" s="7">
        <f>IF(E319="","",IF(F319="",TODAY(),F319)-E319)</f>
        <v/>
      </c>
      <c r="L319" s="8">
        <f>IF(F319&lt;&gt;"","Sold",IF(E319&lt;&gt;"","Online",IF(A319&lt;&gt;"","In stock","")))</f>
        <v/>
      </c>
    </row>
    <row r="320">
      <c r="A320" s="3" t="n"/>
      <c r="B320" s="4" t="n"/>
      <c r="C320" s="5" t="n"/>
      <c r="D320" s="3" t="n"/>
      <c r="E320" s="4" t="n"/>
      <c r="F320" s="4" t="n"/>
      <c r="G320" s="5" t="n"/>
      <c r="H320" s="5" t="n"/>
      <c r="I320" s="5" t="n"/>
      <c r="J320" s="6">
        <f>IF(G320="","",G320-C320-H320-I320)</f>
        <v/>
      </c>
      <c r="K320" s="7">
        <f>IF(E320="","",IF(F320="",TODAY(),F320)-E320)</f>
        <v/>
      </c>
      <c r="L320" s="8">
        <f>IF(F320&lt;&gt;"","Sold",IF(E320&lt;&gt;"","Online",IF(A320&lt;&gt;"","In stock","")))</f>
        <v/>
      </c>
    </row>
    <row r="321">
      <c r="A321" s="3" t="n"/>
      <c r="B321" s="4" t="n"/>
      <c r="C321" s="5" t="n"/>
      <c r="D321" s="3" t="n"/>
      <c r="E321" s="4" t="n"/>
      <c r="F321" s="4" t="n"/>
      <c r="G321" s="5" t="n"/>
      <c r="H321" s="5" t="n"/>
      <c r="I321" s="5" t="n"/>
      <c r="J321" s="6">
        <f>IF(G321="","",G321-C321-H321-I321)</f>
        <v/>
      </c>
      <c r="K321" s="7">
        <f>IF(E321="","",IF(F321="",TODAY(),F321)-E321)</f>
        <v/>
      </c>
      <c r="L321" s="8">
        <f>IF(F321&lt;&gt;"","Sold",IF(E321&lt;&gt;"","Online",IF(A321&lt;&gt;"","In stock","")))</f>
        <v/>
      </c>
    </row>
    <row r="322">
      <c r="A322" s="3" t="n"/>
      <c r="B322" s="4" t="n"/>
      <c r="C322" s="5" t="n"/>
      <c r="D322" s="3" t="n"/>
      <c r="E322" s="4" t="n"/>
      <c r="F322" s="4" t="n"/>
      <c r="G322" s="5" t="n"/>
      <c r="H322" s="5" t="n"/>
      <c r="I322" s="5" t="n"/>
      <c r="J322" s="6">
        <f>IF(G322="","",G322-C322-H322-I322)</f>
        <v/>
      </c>
      <c r="K322" s="7">
        <f>IF(E322="","",IF(F322="",TODAY(),F322)-E322)</f>
        <v/>
      </c>
      <c r="L322" s="8">
        <f>IF(F322&lt;&gt;"","Sold",IF(E322&lt;&gt;"","Online",IF(A322&lt;&gt;"","In stock","")))</f>
        <v/>
      </c>
    </row>
    <row r="323">
      <c r="A323" s="3" t="n"/>
      <c r="B323" s="4" t="n"/>
      <c r="C323" s="5" t="n"/>
      <c r="D323" s="3" t="n"/>
      <c r="E323" s="4" t="n"/>
      <c r="F323" s="4" t="n"/>
      <c r="G323" s="5" t="n"/>
      <c r="H323" s="5" t="n"/>
      <c r="I323" s="5" t="n"/>
      <c r="J323" s="6">
        <f>IF(G323="","",G323-C323-H323-I323)</f>
        <v/>
      </c>
      <c r="K323" s="7">
        <f>IF(E323="","",IF(F323="",TODAY(),F323)-E323)</f>
        <v/>
      </c>
      <c r="L323" s="8">
        <f>IF(F323&lt;&gt;"","Sold",IF(E323&lt;&gt;"","Online",IF(A323&lt;&gt;"","In stock","")))</f>
        <v/>
      </c>
    </row>
    <row r="324">
      <c r="A324" s="3" t="n"/>
      <c r="B324" s="4" t="n"/>
      <c r="C324" s="5" t="n"/>
      <c r="D324" s="3" t="n"/>
      <c r="E324" s="4" t="n"/>
      <c r="F324" s="4" t="n"/>
      <c r="G324" s="5" t="n"/>
      <c r="H324" s="5" t="n"/>
      <c r="I324" s="5" t="n"/>
      <c r="J324" s="6">
        <f>IF(G324="","",G324-C324-H324-I324)</f>
        <v/>
      </c>
      <c r="K324" s="7">
        <f>IF(E324="","",IF(F324="",TODAY(),F324)-E324)</f>
        <v/>
      </c>
      <c r="L324" s="8">
        <f>IF(F324&lt;&gt;"","Sold",IF(E324&lt;&gt;"","Online",IF(A324&lt;&gt;"","In stock","")))</f>
        <v/>
      </c>
    </row>
    <row r="325">
      <c r="A325" s="3" t="n"/>
      <c r="B325" s="4" t="n"/>
      <c r="C325" s="5" t="n"/>
      <c r="D325" s="3" t="n"/>
      <c r="E325" s="4" t="n"/>
      <c r="F325" s="4" t="n"/>
      <c r="G325" s="5" t="n"/>
      <c r="H325" s="5" t="n"/>
      <c r="I325" s="5" t="n"/>
      <c r="J325" s="6">
        <f>IF(G325="","",G325-C325-H325-I325)</f>
        <v/>
      </c>
      <c r="K325" s="7">
        <f>IF(E325="","",IF(F325="",TODAY(),F325)-E325)</f>
        <v/>
      </c>
      <c r="L325" s="8">
        <f>IF(F325&lt;&gt;"","Sold",IF(E325&lt;&gt;"","Online",IF(A325&lt;&gt;"","In stock","")))</f>
        <v/>
      </c>
    </row>
    <row r="326">
      <c r="A326" s="3" t="n"/>
      <c r="B326" s="4" t="n"/>
      <c r="C326" s="5" t="n"/>
      <c r="D326" s="3" t="n"/>
      <c r="E326" s="4" t="n"/>
      <c r="F326" s="4" t="n"/>
      <c r="G326" s="5" t="n"/>
      <c r="H326" s="5" t="n"/>
      <c r="I326" s="5" t="n"/>
      <c r="J326" s="6">
        <f>IF(G326="","",G326-C326-H326-I326)</f>
        <v/>
      </c>
      <c r="K326" s="7">
        <f>IF(E326="","",IF(F326="",TODAY(),F326)-E326)</f>
        <v/>
      </c>
      <c r="L326" s="8">
        <f>IF(F326&lt;&gt;"","Sold",IF(E326&lt;&gt;"","Online",IF(A326&lt;&gt;"","In stock","")))</f>
        <v/>
      </c>
    </row>
    <row r="327">
      <c r="A327" s="3" t="n"/>
      <c r="B327" s="4" t="n"/>
      <c r="C327" s="5" t="n"/>
      <c r="D327" s="3" t="n"/>
      <c r="E327" s="4" t="n"/>
      <c r="F327" s="4" t="n"/>
      <c r="G327" s="5" t="n"/>
      <c r="H327" s="5" t="n"/>
      <c r="I327" s="5" t="n"/>
      <c r="J327" s="6">
        <f>IF(G327="","",G327-C327-H327-I327)</f>
        <v/>
      </c>
      <c r="K327" s="7">
        <f>IF(E327="","",IF(F327="",TODAY(),F327)-E327)</f>
        <v/>
      </c>
      <c r="L327" s="8">
        <f>IF(F327&lt;&gt;"","Sold",IF(E327&lt;&gt;"","Online",IF(A327&lt;&gt;"","In stock","")))</f>
        <v/>
      </c>
    </row>
    <row r="328">
      <c r="A328" s="3" t="n"/>
      <c r="B328" s="4" t="n"/>
      <c r="C328" s="5" t="n"/>
      <c r="D328" s="3" t="n"/>
      <c r="E328" s="4" t="n"/>
      <c r="F328" s="4" t="n"/>
      <c r="G328" s="5" t="n"/>
      <c r="H328" s="5" t="n"/>
      <c r="I328" s="5" t="n"/>
      <c r="J328" s="6">
        <f>IF(G328="","",G328-C328-H328-I328)</f>
        <v/>
      </c>
      <c r="K328" s="7">
        <f>IF(E328="","",IF(F328="",TODAY(),F328)-E328)</f>
        <v/>
      </c>
      <c r="L328" s="8">
        <f>IF(F328&lt;&gt;"","Sold",IF(E328&lt;&gt;"","Online",IF(A328&lt;&gt;"","In stock","")))</f>
        <v/>
      </c>
    </row>
    <row r="329">
      <c r="A329" s="3" t="n"/>
      <c r="B329" s="4" t="n"/>
      <c r="C329" s="5" t="n"/>
      <c r="D329" s="3" t="n"/>
      <c r="E329" s="4" t="n"/>
      <c r="F329" s="4" t="n"/>
      <c r="G329" s="5" t="n"/>
      <c r="H329" s="5" t="n"/>
      <c r="I329" s="5" t="n"/>
      <c r="J329" s="6">
        <f>IF(G329="","",G329-C329-H329-I329)</f>
        <v/>
      </c>
      <c r="K329" s="7">
        <f>IF(E329="","",IF(F329="",TODAY(),F329)-E329)</f>
        <v/>
      </c>
      <c r="L329" s="8">
        <f>IF(F329&lt;&gt;"","Sold",IF(E329&lt;&gt;"","Online",IF(A329&lt;&gt;"","In stock","")))</f>
        <v/>
      </c>
    </row>
    <row r="330">
      <c r="A330" s="3" t="n"/>
      <c r="B330" s="4" t="n"/>
      <c r="C330" s="5" t="n"/>
      <c r="D330" s="3" t="n"/>
      <c r="E330" s="4" t="n"/>
      <c r="F330" s="4" t="n"/>
      <c r="G330" s="5" t="n"/>
      <c r="H330" s="5" t="n"/>
      <c r="I330" s="5" t="n"/>
      <c r="J330" s="6">
        <f>IF(G330="","",G330-C330-H330-I330)</f>
        <v/>
      </c>
      <c r="K330" s="7">
        <f>IF(E330="","",IF(F330="",TODAY(),F330)-E330)</f>
        <v/>
      </c>
      <c r="L330" s="8">
        <f>IF(F330&lt;&gt;"","Sold",IF(E330&lt;&gt;"","Online",IF(A330&lt;&gt;"","In stock","")))</f>
        <v/>
      </c>
    </row>
    <row r="331">
      <c r="A331" s="3" t="n"/>
      <c r="B331" s="4" t="n"/>
      <c r="C331" s="5" t="n"/>
      <c r="D331" s="3" t="n"/>
      <c r="E331" s="4" t="n"/>
      <c r="F331" s="4" t="n"/>
      <c r="G331" s="5" t="n"/>
      <c r="H331" s="5" t="n"/>
      <c r="I331" s="5" t="n"/>
      <c r="J331" s="6">
        <f>IF(G331="","",G331-C331-H331-I331)</f>
        <v/>
      </c>
      <c r="K331" s="7">
        <f>IF(E331="","",IF(F331="",TODAY(),F331)-E331)</f>
        <v/>
      </c>
      <c r="L331" s="8">
        <f>IF(F331&lt;&gt;"","Sold",IF(E331&lt;&gt;"","Online",IF(A331&lt;&gt;"","In stock","")))</f>
        <v/>
      </c>
    </row>
    <row r="332">
      <c r="A332" s="3" t="n"/>
      <c r="B332" s="4" t="n"/>
      <c r="C332" s="5" t="n"/>
      <c r="D332" s="3" t="n"/>
      <c r="E332" s="4" t="n"/>
      <c r="F332" s="4" t="n"/>
      <c r="G332" s="5" t="n"/>
      <c r="H332" s="5" t="n"/>
      <c r="I332" s="5" t="n"/>
      <c r="J332" s="6">
        <f>IF(G332="","",G332-C332-H332-I332)</f>
        <v/>
      </c>
      <c r="K332" s="7">
        <f>IF(E332="","",IF(F332="",TODAY(),F332)-E332)</f>
        <v/>
      </c>
      <c r="L332" s="8">
        <f>IF(F332&lt;&gt;"","Sold",IF(E332&lt;&gt;"","Online",IF(A332&lt;&gt;"","In stock","")))</f>
        <v/>
      </c>
    </row>
    <row r="333">
      <c r="A333" s="3" t="n"/>
      <c r="B333" s="4" t="n"/>
      <c r="C333" s="5" t="n"/>
      <c r="D333" s="3" t="n"/>
      <c r="E333" s="4" t="n"/>
      <c r="F333" s="4" t="n"/>
      <c r="G333" s="5" t="n"/>
      <c r="H333" s="5" t="n"/>
      <c r="I333" s="5" t="n"/>
      <c r="J333" s="6">
        <f>IF(G333="","",G333-C333-H333-I333)</f>
        <v/>
      </c>
      <c r="K333" s="7">
        <f>IF(E333="","",IF(F333="",TODAY(),F333)-E333)</f>
        <v/>
      </c>
      <c r="L333" s="8">
        <f>IF(F333&lt;&gt;"","Sold",IF(E333&lt;&gt;"","Online",IF(A333&lt;&gt;"","In stock","")))</f>
        <v/>
      </c>
    </row>
    <row r="334">
      <c r="A334" s="3" t="n"/>
      <c r="B334" s="4" t="n"/>
      <c r="C334" s="5" t="n"/>
      <c r="D334" s="3" t="n"/>
      <c r="E334" s="4" t="n"/>
      <c r="F334" s="4" t="n"/>
      <c r="G334" s="5" t="n"/>
      <c r="H334" s="5" t="n"/>
      <c r="I334" s="5" t="n"/>
      <c r="J334" s="6">
        <f>IF(G334="","",G334-C334-H334-I334)</f>
        <v/>
      </c>
      <c r="K334" s="7">
        <f>IF(E334="","",IF(F334="",TODAY(),F334)-E334)</f>
        <v/>
      </c>
      <c r="L334" s="8">
        <f>IF(F334&lt;&gt;"","Sold",IF(E334&lt;&gt;"","Online",IF(A334&lt;&gt;"","In stock","")))</f>
        <v/>
      </c>
    </row>
    <row r="335">
      <c r="A335" s="3" t="n"/>
      <c r="B335" s="4" t="n"/>
      <c r="C335" s="5" t="n"/>
      <c r="D335" s="3" t="n"/>
      <c r="E335" s="4" t="n"/>
      <c r="F335" s="4" t="n"/>
      <c r="G335" s="5" t="n"/>
      <c r="H335" s="5" t="n"/>
      <c r="I335" s="5" t="n"/>
      <c r="J335" s="6">
        <f>IF(G335="","",G335-C335-H335-I335)</f>
        <v/>
      </c>
      <c r="K335" s="7">
        <f>IF(E335="","",IF(F335="",TODAY(),F335)-E335)</f>
        <v/>
      </c>
      <c r="L335" s="8">
        <f>IF(F335&lt;&gt;"","Sold",IF(E335&lt;&gt;"","Online",IF(A335&lt;&gt;"","In stock","")))</f>
        <v/>
      </c>
    </row>
    <row r="336">
      <c r="A336" s="3" t="n"/>
      <c r="B336" s="4" t="n"/>
      <c r="C336" s="5" t="n"/>
      <c r="D336" s="3" t="n"/>
      <c r="E336" s="4" t="n"/>
      <c r="F336" s="4" t="n"/>
      <c r="G336" s="5" t="n"/>
      <c r="H336" s="5" t="n"/>
      <c r="I336" s="5" t="n"/>
      <c r="J336" s="6">
        <f>IF(G336="","",G336-C336-H336-I336)</f>
        <v/>
      </c>
      <c r="K336" s="7">
        <f>IF(E336="","",IF(F336="",TODAY(),F336)-E336)</f>
        <v/>
      </c>
      <c r="L336" s="8">
        <f>IF(F336&lt;&gt;"","Sold",IF(E336&lt;&gt;"","Online",IF(A336&lt;&gt;"","In stock","")))</f>
        <v/>
      </c>
    </row>
    <row r="337">
      <c r="A337" s="3" t="n"/>
      <c r="B337" s="4" t="n"/>
      <c r="C337" s="5" t="n"/>
      <c r="D337" s="3" t="n"/>
      <c r="E337" s="4" t="n"/>
      <c r="F337" s="4" t="n"/>
      <c r="G337" s="5" t="n"/>
      <c r="H337" s="5" t="n"/>
      <c r="I337" s="5" t="n"/>
      <c r="J337" s="6">
        <f>IF(G337="","",G337-C337-H337-I337)</f>
        <v/>
      </c>
      <c r="K337" s="7">
        <f>IF(E337="","",IF(F337="",TODAY(),F337)-E337)</f>
        <v/>
      </c>
      <c r="L337" s="8">
        <f>IF(F337&lt;&gt;"","Sold",IF(E337&lt;&gt;"","Online",IF(A337&lt;&gt;"","In stock","")))</f>
        <v/>
      </c>
    </row>
    <row r="338">
      <c r="A338" s="3" t="n"/>
      <c r="B338" s="4" t="n"/>
      <c r="C338" s="5" t="n"/>
      <c r="D338" s="3" t="n"/>
      <c r="E338" s="4" t="n"/>
      <c r="F338" s="4" t="n"/>
      <c r="G338" s="5" t="n"/>
      <c r="H338" s="5" t="n"/>
      <c r="I338" s="5" t="n"/>
      <c r="J338" s="6">
        <f>IF(G338="","",G338-C338-H338-I338)</f>
        <v/>
      </c>
      <c r="K338" s="7">
        <f>IF(E338="","",IF(F338="",TODAY(),F338)-E338)</f>
        <v/>
      </c>
      <c r="L338" s="8">
        <f>IF(F338&lt;&gt;"","Sold",IF(E338&lt;&gt;"","Online",IF(A338&lt;&gt;"","In stock","")))</f>
        <v/>
      </c>
    </row>
    <row r="339">
      <c r="A339" s="3" t="n"/>
      <c r="B339" s="4" t="n"/>
      <c r="C339" s="5" t="n"/>
      <c r="D339" s="3" t="n"/>
      <c r="E339" s="4" t="n"/>
      <c r="F339" s="4" t="n"/>
      <c r="G339" s="5" t="n"/>
      <c r="H339" s="5" t="n"/>
      <c r="I339" s="5" t="n"/>
      <c r="J339" s="6">
        <f>IF(G339="","",G339-C339-H339-I339)</f>
        <v/>
      </c>
      <c r="K339" s="7">
        <f>IF(E339="","",IF(F339="",TODAY(),F339)-E339)</f>
        <v/>
      </c>
      <c r="L339" s="8">
        <f>IF(F339&lt;&gt;"","Sold",IF(E339&lt;&gt;"","Online",IF(A339&lt;&gt;"","In stock","")))</f>
        <v/>
      </c>
    </row>
    <row r="340">
      <c r="A340" s="3" t="n"/>
      <c r="B340" s="4" t="n"/>
      <c r="C340" s="5" t="n"/>
      <c r="D340" s="3" t="n"/>
      <c r="E340" s="4" t="n"/>
      <c r="F340" s="4" t="n"/>
      <c r="G340" s="5" t="n"/>
      <c r="H340" s="5" t="n"/>
      <c r="I340" s="5" t="n"/>
      <c r="J340" s="6">
        <f>IF(G340="","",G340-C340-H340-I340)</f>
        <v/>
      </c>
      <c r="K340" s="7">
        <f>IF(E340="","",IF(F340="",TODAY(),F340)-E340)</f>
        <v/>
      </c>
      <c r="L340" s="8">
        <f>IF(F340&lt;&gt;"","Sold",IF(E340&lt;&gt;"","Online",IF(A340&lt;&gt;"","In stock","")))</f>
        <v/>
      </c>
    </row>
    <row r="341">
      <c r="A341" s="3" t="n"/>
      <c r="B341" s="4" t="n"/>
      <c r="C341" s="5" t="n"/>
      <c r="D341" s="3" t="n"/>
      <c r="E341" s="4" t="n"/>
      <c r="F341" s="4" t="n"/>
      <c r="G341" s="5" t="n"/>
      <c r="H341" s="5" t="n"/>
      <c r="I341" s="5" t="n"/>
      <c r="J341" s="6">
        <f>IF(G341="","",G341-C341-H341-I341)</f>
        <v/>
      </c>
      <c r="K341" s="7">
        <f>IF(E341="","",IF(F341="",TODAY(),F341)-E341)</f>
        <v/>
      </c>
      <c r="L341" s="8">
        <f>IF(F341&lt;&gt;"","Sold",IF(E341&lt;&gt;"","Online",IF(A341&lt;&gt;"","In stock","")))</f>
        <v/>
      </c>
    </row>
    <row r="342">
      <c r="A342" s="3" t="n"/>
      <c r="B342" s="4" t="n"/>
      <c r="C342" s="5" t="n"/>
      <c r="D342" s="3" t="n"/>
      <c r="E342" s="4" t="n"/>
      <c r="F342" s="4" t="n"/>
      <c r="G342" s="5" t="n"/>
      <c r="H342" s="5" t="n"/>
      <c r="I342" s="5" t="n"/>
      <c r="J342" s="6">
        <f>IF(G342="","",G342-C342-H342-I342)</f>
        <v/>
      </c>
      <c r="K342" s="7">
        <f>IF(E342="","",IF(F342="",TODAY(),F342)-E342)</f>
        <v/>
      </c>
      <c r="L342" s="8">
        <f>IF(F342&lt;&gt;"","Sold",IF(E342&lt;&gt;"","Online",IF(A342&lt;&gt;"","In stock","")))</f>
        <v/>
      </c>
    </row>
    <row r="343">
      <c r="A343" s="3" t="n"/>
      <c r="B343" s="4" t="n"/>
      <c r="C343" s="5" t="n"/>
      <c r="D343" s="3" t="n"/>
      <c r="E343" s="4" t="n"/>
      <c r="F343" s="4" t="n"/>
      <c r="G343" s="5" t="n"/>
      <c r="H343" s="5" t="n"/>
      <c r="I343" s="5" t="n"/>
      <c r="J343" s="6">
        <f>IF(G343="","",G343-C343-H343-I343)</f>
        <v/>
      </c>
      <c r="K343" s="7">
        <f>IF(E343="","",IF(F343="",TODAY(),F343)-E343)</f>
        <v/>
      </c>
      <c r="L343" s="8">
        <f>IF(F343&lt;&gt;"","Sold",IF(E343&lt;&gt;"","Online",IF(A343&lt;&gt;"","In stock","")))</f>
        <v/>
      </c>
    </row>
    <row r="344">
      <c r="A344" s="3" t="n"/>
      <c r="B344" s="4" t="n"/>
      <c r="C344" s="5" t="n"/>
      <c r="D344" s="3" t="n"/>
      <c r="E344" s="4" t="n"/>
      <c r="F344" s="4" t="n"/>
      <c r="G344" s="5" t="n"/>
      <c r="H344" s="5" t="n"/>
      <c r="I344" s="5" t="n"/>
      <c r="J344" s="6">
        <f>IF(G344="","",G344-C344-H344-I344)</f>
        <v/>
      </c>
      <c r="K344" s="7">
        <f>IF(E344="","",IF(F344="",TODAY(),F344)-E344)</f>
        <v/>
      </c>
      <c r="L344" s="8">
        <f>IF(F344&lt;&gt;"","Sold",IF(E344&lt;&gt;"","Online",IF(A344&lt;&gt;"","In stock","")))</f>
        <v/>
      </c>
    </row>
    <row r="345">
      <c r="A345" s="3" t="n"/>
      <c r="B345" s="4" t="n"/>
      <c r="C345" s="5" t="n"/>
      <c r="D345" s="3" t="n"/>
      <c r="E345" s="4" t="n"/>
      <c r="F345" s="4" t="n"/>
      <c r="G345" s="5" t="n"/>
      <c r="H345" s="5" t="n"/>
      <c r="I345" s="5" t="n"/>
      <c r="J345" s="6">
        <f>IF(G345="","",G345-C345-H345-I345)</f>
        <v/>
      </c>
      <c r="K345" s="7">
        <f>IF(E345="","",IF(F345="",TODAY(),F345)-E345)</f>
        <v/>
      </c>
      <c r="L345" s="8">
        <f>IF(F345&lt;&gt;"","Sold",IF(E345&lt;&gt;"","Online",IF(A345&lt;&gt;"","In stock","")))</f>
        <v/>
      </c>
    </row>
    <row r="346">
      <c r="A346" s="3" t="n"/>
      <c r="B346" s="4" t="n"/>
      <c r="C346" s="5" t="n"/>
      <c r="D346" s="3" t="n"/>
      <c r="E346" s="4" t="n"/>
      <c r="F346" s="4" t="n"/>
      <c r="G346" s="5" t="n"/>
      <c r="H346" s="5" t="n"/>
      <c r="I346" s="5" t="n"/>
      <c r="J346" s="6">
        <f>IF(G346="","",G346-C346-H346-I346)</f>
        <v/>
      </c>
      <c r="K346" s="7">
        <f>IF(E346="","",IF(F346="",TODAY(),F346)-E346)</f>
        <v/>
      </c>
      <c r="L346" s="8">
        <f>IF(F346&lt;&gt;"","Sold",IF(E346&lt;&gt;"","Online",IF(A346&lt;&gt;"","In stock","")))</f>
        <v/>
      </c>
    </row>
    <row r="347">
      <c r="A347" s="3" t="n"/>
      <c r="B347" s="4" t="n"/>
      <c r="C347" s="5" t="n"/>
      <c r="D347" s="3" t="n"/>
      <c r="E347" s="4" t="n"/>
      <c r="F347" s="4" t="n"/>
      <c r="G347" s="5" t="n"/>
      <c r="H347" s="5" t="n"/>
      <c r="I347" s="5" t="n"/>
      <c r="J347" s="6">
        <f>IF(G347="","",G347-C347-H347-I347)</f>
        <v/>
      </c>
      <c r="K347" s="7">
        <f>IF(E347="","",IF(F347="",TODAY(),F347)-E347)</f>
        <v/>
      </c>
      <c r="L347" s="8">
        <f>IF(F347&lt;&gt;"","Sold",IF(E347&lt;&gt;"","Online",IF(A347&lt;&gt;"","In stock","")))</f>
        <v/>
      </c>
    </row>
    <row r="348">
      <c r="A348" s="3" t="n"/>
      <c r="B348" s="4" t="n"/>
      <c r="C348" s="5" t="n"/>
      <c r="D348" s="3" t="n"/>
      <c r="E348" s="4" t="n"/>
      <c r="F348" s="4" t="n"/>
      <c r="G348" s="5" t="n"/>
      <c r="H348" s="5" t="n"/>
      <c r="I348" s="5" t="n"/>
      <c r="J348" s="6">
        <f>IF(G348="","",G348-C348-H348-I348)</f>
        <v/>
      </c>
      <c r="K348" s="7">
        <f>IF(E348="","",IF(F348="",TODAY(),F348)-E348)</f>
        <v/>
      </c>
      <c r="L348" s="8">
        <f>IF(F348&lt;&gt;"","Sold",IF(E348&lt;&gt;"","Online",IF(A348&lt;&gt;"","In stock","")))</f>
        <v/>
      </c>
    </row>
    <row r="349">
      <c r="A349" s="3" t="n"/>
      <c r="B349" s="4" t="n"/>
      <c r="C349" s="5" t="n"/>
      <c r="D349" s="3" t="n"/>
      <c r="E349" s="4" t="n"/>
      <c r="F349" s="4" t="n"/>
      <c r="G349" s="5" t="n"/>
      <c r="H349" s="5" t="n"/>
      <c r="I349" s="5" t="n"/>
      <c r="J349" s="6">
        <f>IF(G349="","",G349-C349-H349-I349)</f>
        <v/>
      </c>
      <c r="K349" s="7">
        <f>IF(E349="","",IF(F349="",TODAY(),F349)-E349)</f>
        <v/>
      </c>
      <c r="L349" s="8">
        <f>IF(F349&lt;&gt;"","Sold",IF(E349&lt;&gt;"","Online",IF(A349&lt;&gt;"","In stock","")))</f>
        <v/>
      </c>
    </row>
    <row r="350">
      <c r="A350" s="3" t="n"/>
      <c r="B350" s="4" t="n"/>
      <c r="C350" s="5" t="n"/>
      <c r="D350" s="3" t="n"/>
      <c r="E350" s="4" t="n"/>
      <c r="F350" s="4" t="n"/>
      <c r="G350" s="5" t="n"/>
      <c r="H350" s="5" t="n"/>
      <c r="I350" s="5" t="n"/>
      <c r="J350" s="6">
        <f>IF(G350="","",G350-C350-H350-I350)</f>
        <v/>
      </c>
      <c r="K350" s="7">
        <f>IF(E350="","",IF(F350="",TODAY(),F350)-E350)</f>
        <v/>
      </c>
      <c r="L350" s="8">
        <f>IF(F350&lt;&gt;"","Sold",IF(E350&lt;&gt;"","Online",IF(A350&lt;&gt;"","In stock","")))</f>
        <v/>
      </c>
    </row>
    <row r="351">
      <c r="A351" s="3" t="n"/>
      <c r="B351" s="4" t="n"/>
      <c r="C351" s="5" t="n"/>
      <c r="D351" s="3" t="n"/>
      <c r="E351" s="4" t="n"/>
      <c r="F351" s="4" t="n"/>
      <c r="G351" s="5" t="n"/>
      <c r="H351" s="5" t="n"/>
      <c r="I351" s="5" t="n"/>
      <c r="J351" s="6">
        <f>IF(G351="","",G351-C351-H351-I351)</f>
        <v/>
      </c>
      <c r="K351" s="7">
        <f>IF(E351="","",IF(F351="",TODAY(),F351)-E351)</f>
        <v/>
      </c>
      <c r="L351" s="8">
        <f>IF(F351&lt;&gt;"","Sold",IF(E351&lt;&gt;"","Online",IF(A351&lt;&gt;"","In stock","")))</f>
        <v/>
      </c>
    </row>
    <row r="352">
      <c r="A352" s="3" t="n"/>
      <c r="B352" s="4" t="n"/>
      <c r="C352" s="5" t="n"/>
      <c r="D352" s="3" t="n"/>
      <c r="E352" s="4" t="n"/>
      <c r="F352" s="4" t="n"/>
      <c r="G352" s="5" t="n"/>
      <c r="H352" s="5" t="n"/>
      <c r="I352" s="5" t="n"/>
      <c r="J352" s="6">
        <f>IF(G352="","",G352-C352-H352-I352)</f>
        <v/>
      </c>
      <c r="K352" s="7">
        <f>IF(E352="","",IF(F352="",TODAY(),F352)-E352)</f>
        <v/>
      </c>
      <c r="L352" s="8">
        <f>IF(F352&lt;&gt;"","Sold",IF(E352&lt;&gt;"","Online",IF(A352&lt;&gt;"","In stock","")))</f>
        <v/>
      </c>
    </row>
    <row r="353">
      <c r="A353" s="3" t="n"/>
      <c r="B353" s="4" t="n"/>
      <c r="C353" s="5" t="n"/>
      <c r="D353" s="3" t="n"/>
      <c r="E353" s="4" t="n"/>
      <c r="F353" s="4" t="n"/>
      <c r="G353" s="5" t="n"/>
      <c r="H353" s="5" t="n"/>
      <c r="I353" s="5" t="n"/>
      <c r="J353" s="6">
        <f>IF(G353="","",G353-C353-H353-I353)</f>
        <v/>
      </c>
      <c r="K353" s="7">
        <f>IF(E353="","",IF(F353="",TODAY(),F353)-E353)</f>
        <v/>
      </c>
      <c r="L353" s="8">
        <f>IF(F353&lt;&gt;"","Sold",IF(E353&lt;&gt;"","Online",IF(A353&lt;&gt;"","In stock","")))</f>
        <v/>
      </c>
    </row>
    <row r="354">
      <c r="A354" s="3" t="n"/>
      <c r="B354" s="4" t="n"/>
      <c r="C354" s="5" t="n"/>
      <c r="D354" s="3" t="n"/>
      <c r="E354" s="4" t="n"/>
      <c r="F354" s="4" t="n"/>
      <c r="G354" s="5" t="n"/>
      <c r="H354" s="5" t="n"/>
      <c r="I354" s="5" t="n"/>
      <c r="J354" s="6">
        <f>IF(G354="","",G354-C354-H354-I354)</f>
        <v/>
      </c>
      <c r="K354" s="7">
        <f>IF(E354="","",IF(F354="",TODAY(),F354)-E354)</f>
        <v/>
      </c>
      <c r="L354" s="8">
        <f>IF(F354&lt;&gt;"","Sold",IF(E354&lt;&gt;"","Online",IF(A354&lt;&gt;"","In stock","")))</f>
        <v/>
      </c>
    </row>
    <row r="355">
      <c r="A355" s="3" t="n"/>
      <c r="B355" s="4" t="n"/>
      <c r="C355" s="5" t="n"/>
      <c r="D355" s="3" t="n"/>
      <c r="E355" s="4" t="n"/>
      <c r="F355" s="4" t="n"/>
      <c r="G355" s="5" t="n"/>
      <c r="H355" s="5" t="n"/>
      <c r="I355" s="5" t="n"/>
      <c r="J355" s="6">
        <f>IF(G355="","",G355-C355-H355-I355)</f>
        <v/>
      </c>
      <c r="K355" s="7">
        <f>IF(E355="","",IF(F355="",TODAY(),F355)-E355)</f>
        <v/>
      </c>
      <c r="L355" s="8">
        <f>IF(F355&lt;&gt;"","Sold",IF(E355&lt;&gt;"","Online",IF(A355&lt;&gt;"","In stock","")))</f>
        <v/>
      </c>
    </row>
    <row r="356">
      <c r="A356" s="3" t="n"/>
      <c r="B356" s="4" t="n"/>
      <c r="C356" s="5" t="n"/>
      <c r="D356" s="3" t="n"/>
      <c r="E356" s="4" t="n"/>
      <c r="F356" s="4" t="n"/>
      <c r="G356" s="5" t="n"/>
      <c r="H356" s="5" t="n"/>
      <c r="I356" s="5" t="n"/>
      <c r="J356" s="6">
        <f>IF(G356="","",G356-C356-H356-I356)</f>
        <v/>
      </c>
      <c r="K356" s="7">
        <f>IF(E356="","",IF(F356="",TODAY(),F356)-E356)</f>
        <v/>
      </c>
      <c r="L356" s="8">
        <f>IF(F356&lt;&gt;"","Sold",IF(E356&lt;&gt;"","Online",IF(A356&lt;&gt;"","In stock","")))</f>
        <v/>
      </c>
    </row>
    <row r="357">
      <c r="A357" s="3" t="n"/>
      <c r="B357" s="4" t="n"/>
      <c r="C357" s="5" t="n"/>
      <c r="D357" s="3" t="n"/>
      <c r="E357" s="4" t="n"/>
      <c r="F357" s="4" t="n"/>
      <c r="G357" s="5" t="n"/>
      <c r="H357" s="5" t="n"/>
      <c r="I357" s="5" t="n"/>
      <c r="J357" s="6">
        <f>IF(G357="","",G357-C357-H357-I357)</f>
        <v/>
      </c>
      <c r="K357" s="7">
        <f>IF(E357="","",IF(F357="",TODAY(),F357)-E357)</f>
        <v/>
      </c>
      <c r="L357" s="8">
        <f>IF(F357&lt;&gt;"","Sold",IF(E357&lt;&gt;"","Online",IF(A357&lt;&gt;"","In stock","")))</f>
        <v/>
      </c>
    </row>
    <row r="358">
      <c r="A358" s="3" t="n"/>
      <c r="B358" s="4" t="n"/>
      <c r="C358" s="5" t="n"/>
      <c r="D358" s="3" t="n"/>
      <c r="E358" s="4" t="n"/>
      <c r="F358" s="4" t="n"/>
      <c r="G358" s="5" t="n"/>
      <c r="H358" s="5" t="n"/>
      <c r="I358" s="5" t="n"/>
      <c r="J358" s="6">
        <f>IF(G358="","",G358-C358-H358-I358)</f>
        <v/>
      </c>
      <c r="K358" s="7">
        <f>IF(E358="","",IF(F358="",TODAY(),F358)-E358)</f>
        <v/>
      </c>
      <c r="L358" s="8">
        <f>IF(F358&lt;&gt;"","Sold",IF(E358&lt;&gt;"","Online",IF(A358&lt;&gt;"","In stock","")))</f>
        <v/>
      </c>
    </row>
    <row r="359">
      <c r="A359" s="3" t="n"/>
      <c r="B359" s="4" t="n"/>
      <c r="C359" s="5" t="n"/>
      <c r="D359" s="3" t="n"/>
      <c r="E359" s="4" t="n"/>
      <c r="F359" s="4" t="n"/>
      <c r="G359" s="5" t="n"/>
      <c r="H359" s="5" t="n"/>
      <c r="I359" s="5" t="n"/>
      <c r="J359" s="6">
        <f>IF(G359="","",G359-C359-H359-I359)</f>
        <v/>
      </c>
      <c r="K359" s="7">
        <f>IF(E359="","",IF(F359="",TODAY(),F359)-E359)</f>
        <v/>
      </c>
      <c r="L359" s="8">
        <f>IF(F359&lt;&gt;"","Sold",IF(E359&lt;&gt;"","Online",IF(A359&lt;&gt;"","In stock","")))</f>
        <v/>
      </c>
    </row>
    <row r="360">
      <c r="A360" s="3" t="n"/>
      <c r="B360" s="4" t="n"/>
      <c r="C360" s="5" t="n"/>
      <c r="D360" s="3" t="n"/>
      <c r="E360" s="4" t="n"/>
      <c r="F360" s="4" t="n"/>
      <c r="G360" s="5" t="n"/>
      <c r="H360" s="5" t="n"/>
      <c r="I360" s="5" t="n"/>
      <c r="J360" s="6">
        <f>IF(G360="","",G360-C360-H360-I360)</f>
        <v/>
      </c>
      <c r="K360" s="7">
        <f>IF(E360="","",IF(F360="",TODAY(),F360)-E360)</f>
        <v/>
      </c>
      <c r="L360" s="8">
        <f>IF(F360&lt;&gt;"","Sold",IF(E360&lt;&gt;"","Online",IF(A360&lt;&gt;"","In stock","")))</f>
        <v/>
      </c>
    </row>
    <row r="361">
      <c r="A361" s="3" t="n"/>
      <c r="B361" s="4" t="n"/>
      <c r="C361" s="5" t="n"/>
      <c r="D361" s="3" t="n"/>
      <c r="E361" s="4" t="n"/>
      <c r="F361" s="4" t="n"/>
      <c r="G361" s="5" t="n"/>
      <c r="H361" s="5" t="n"/>
      <c r="I361" s="5" t="n"/>
      <c r="J361" s="6">
        <f>IF(G361="","",G361-C361-H361-I361)</f>
        <v/>
      </c>
      <c r="K361" s="7">
        <f>IF(E361="","",IF(F361="",TODAY(),F361)-E361)</f>
        <v/>
      </c>
      <c r="L361" s="8">
        <f>IF(F361&lt;&gt;"","Sold",IF(E361&lt;&gt;"","Online",IF(A361&lt;&gt;"","In stock","")))</f>
        <v/>
      </c>
    </row>
    <row r="362">
      <c r="A362" s="3" t="n"/>
      <c r="B362" s="4" t="n"/>
      <c r="C362" s="5" t="n"/>
      <c r="D362" s="3" t="n"/>
      <c r="E362" s="4" t="n"/>
      <c r="F362" s="4" t="n"/>
      <c r="G362" s="5" t="n"/>
      <c r="H362" s="5" t="n"/>
      <c r="I362" s="5" t="n"/>
      <c r="J362" s="6">
        <f>IF(G362="","",G362-C362-H362-I362)</f>
        <v/>
      </c>
      <c r="K362" s="7">
        <f>IF(E362="","",IF(F362="",TODAY(),F362)-E362)</f>
        <v/>
      </c>
      <c r="L362" s="8">
        <f>IF(F362&lt;&gt;"","Sold",IF(E362&lt;&gt;"","Online",IF(A362&lt;&gt;"","In stock","")))</f>
        <v/>
      </c>
    </row>
    <row r="363">
      <c r="A363" s="3" t="n"/>
      <c r="B363" s="4" t="n"/>
      <c r="C363" s="5" t="n"/>
      <c r="D363" s="3" t="n"/>
      <c r="E363" s="4" t="n"/>
      <c r="F363" s="4" t="n"/>
      <c r="G363" s="5" t="n"/>
      <c r="H363" s="5" t="n"/>
      <c r="I363" s="5" t="n"/>
      <c r="J363" s="6">
        <f>IF(G363="","",G363-C363-H363-I363)</f>
        <v/>
      </c>
      <c r="K363" s="7">
        <f>IF(E363="","",IF(F363="",TODAY(),F363)-E363)</f>
        <v/>
      </c>
      <c r="L363" s="8">
        <f>IF(F363&lt;&gt;"","Sold",IF(E363&lt;&gt;"","Online",IF(A363&lt;&gt;"","In stock","")))</f>
        <v/>
      </c>
    </row>
    <row r="364">
      <c r="A364" s="3" t="n"/>
      <c r="B364" s="4" t="n"/>
      <c r="C364" s="5" t="n"/>
      <c r="D364" s="3" t="n"/>
      <c r="E364" s="4" t="n"/>
      <c r="F364" s="4" t="n"/>
      <c r="G364" s="5" t="n"/>
      <c r="H364" s="5" t="n"/>
      <c r="I364" s="5" t="n"/>
      <c r="J364" s="6">
        <f>IF(G364="","",G364-C364-H364-I364)</f>
        <v/>
      </c>
      <c r="K364" s="7">
        <f>IF(E364="","",IF(F364="",TODAY(),F364)-E364)</f>
        <v/>
      </c>
      <c r="L364" s="8">
        <f>IF(F364&lt;&gt;"","Sold",IF(E364&lt;&gt;"","Online",IF(A364&lt;&gt;"","In stock","")))</f>
        <v/>
      </c>
    </row>
    <row r="365">
      <c r="A365" s="3" t="n"/>
      <c r="B365" s="4" t="n"/>
      <c r="C365" s="5" t="n"/>
      <c r="D365" s="3" t="n"/>
      <c r="E365" s="4" t="n"/>
      <c r="F365" s="4" t="n"/>
      <c r="G365" s="5" t="n"/>
      <c r="H365" s="5" t="n"/>
      <c r="I365" s="5" t="n"/>
      <c r="J365" s="6">
        <f>IF(G365="","",G365-C365-H365-I365)</f>
        <v/>
      </c>
      <c r="K365" s="7">
        <f>IF(E365="","",IF(F365="",TODAY(),F365)-E365)</f>
        <v/>
      </c>
      <c r="L365" s="8">
        <f>IF(F365&lt;&gt;"","Sold",IF(E365&lt;&gt;"","Online",IF(A365&lt;&gt;"","In stock","")))</f>
        <v/>
      </c>
    </row>
    <row r="366">
      <c r="A366" s="3" t="n"/>
      <c r="B366" s="4" t="n"/>
      <c r="C366" s="5" t="n"/>
      <c r="D366" s="3" t="n"/>
      <c r="E366" s="4" t="n"/>
      <c r="F366" s="4" t="n"/>
      <c r="G366" s="5" t="n"/>
      <c r="H366" s="5" t="n"/>
      <c r="I366" s="5" t="n"/>
      <c r="J366" s="6">
        <f>IF(G366="","",G366-C366-H366-I366)</f>
        <v/>
      </c>
      <c r="K366" s="7">
        <f>IF(E366="","",IF(F366="",TODAY(),F366)-E366)</f>
        <v/>
      </c>
      <c r="L366" s="8">
        <f>IF(F366&lt;&gt;"","Sold",IF(E366&lt;&gt;"","Online",IF(A366&lt;&gt;"","In stock","")))</f>
        <v/>
      </c>
    </row>
    <row r="367">
      <c r="A367" s="3" t="n"/>
      <c r="B367" s="4" t="n"/>
      <c r="C367" s="5" t="n"/>
      <c r="D367" s="3" t="n"/>
      <c r="E367" s="4" t="n"/>
      <c r="F367" s="4" t="n"/>
      <c r="G367" s="5" t="n"/>
      <c r="H367" s="5" t="n"/>
      <c r="I367" s="5" t="n"/>
      <c r="J367" s="6">
        <f>IF(G367="","",G367-C367-H367-I367)</f>
        <v/>
      </c>
      <c r="K367" s="7">
        <f>IF(E367="","",IF(F367="",TODAY(),F367)-E367)</f>
        <v/>
      </c>
      <c r="L367" s="8">
        <f>IF(F367&lt;&gt;"","Sold",IF(E367&lt;&gt;"","Online",IF(A367&lt;&gt;"","In stock","")))</f>
        <v/>
      </c>
    </row>
    <row r="368">
      <c r="A368" s="3" t="n"/>
      <c r="B368" s="4" t="n"/>
      <c r="C368" s="5" t="n"/>
      <c r="D368" s="3" t="n"/>
      <c r="E368" s="4" t="n"/>
      <c r="F368" s="4" t="n"/>
      <c r="G368" s="5" t="n"/>
      <c r="H368" s="5" t="n"/>
      <c r="I368" s="5" t="n"/>
      <c r="J368" s="6">
        <f>IF(G368="","",G368-C368-H368-I368)</f>
        <v/>
      </c>
      <c r="K368" s="7">
        <f>IF(E368="","",IF(F368="",TODAY(),F368)-E368)</f>
        <v/>
      </c>
      <c r="L368" s="8">
        <f>IF(F368&lt;&gt;"","Sold",IF(E368&lt;&gt;"","Online",IF(A368&lt;&gt;"","In stock","")))</f>
        <v/>
      </c>
    </row>
    <row r="369">
      <c r="A369" s="3" t="n"/>
      <c r="B369" s="4" t="n"/>
      <c r="C369" s="5" t="n"/>
      <c r="D369" s="3" t="n"/>
      <c r="E369" s="4" t="n"/>
      <c r="F369" s="4" t="n"/>
      <c r="G369" s="5" t="n"/>
      <c r="H369" s="5" t="n"/>
      <c r="I369" s="5" t="n"/>
      <c r="J369" s="6">
        <f>IF(G369="","",G369-C369-H369-I369)</f>
        <v/>
      </c>
      <c r="K369" s="7">
        <f>IF(E369="","",IF(F369="",TODAY(),F369)-E369)</f>
        <v/>
      </c>
      <c r="L369" s="8">
        <f>IF(F369&lt;&gt;"","Sold",IF(E369&lt;&gt;"","Online",IF(A369&lt;&gt;"","In stock","")))</f>
        <v/>
      </c>
    </row>
    <row r="370">
      <c r="A370" s="3" t="n"/>
      <c r="B370" s="4" t="n"/>
      <c r="C370" s="5" t="n"/>
      <c r="D370" s="3" t="n"/>
      <c r="E370" s="4" t="n"/>
      <c r="F370" s="4" t="n"/>
      <c r="G370" s="5" t="n"/>
      <c r="H370" s="5" t="n"/>
      <c r="I370" s="5" t="n"/>
      <c r="J370" s="6">
        <f>IF(G370="","",G370-C370-H370-I370)</f>
        <v/>
      </c>
      <c r="K370" s="7">
        <f>IF(E370="","",IF(F370="",TODAY(),F370)-E370)</f>
        <v/>
      </c>
      <c r="L370" s="8">
        <f>IF(F370&lt;&gt;"","Sold",IF(E370&lt;&gt;"","Online",IF(A370&lt;&gt;"","In stock","")))</f>
        <v/>
      </c>
    </row>
    <row r="371">
      <c r="A371" s="3" t="n"/>
      <c r="B371" s="4" t="n"/>
      <c r="C371" s="5" t="n"/>
      <c r="D371" s="3" t="n"/>
      <c r="E371" s="4" t="n"/>
      <c r="F371" s="4" t="n"/>
      <c r="G371" s="5" t="n"/>
      <c r="H371" s="5" t="n"/>
      <c r="I371" s="5" t="n"/>
      <c r="J371" s="6">
        <f>IF(G371="","",G371-C371-H371-I371)</f>
        <v/>
      </c>
      <c r="K371" s="7">
        <f>IF(E371="","",IF(F371="",TODAY(),F371)-E371)</f>
        <v/>
      </c>
      <c r="L371" s="8">
        <f>IF(F371&lt;&gt;"","Sold",IF(E371&lt;&gt;"","Online",IF(A371&lt;&gt;"","In stock","")))</f>
        <v/>
      </c>
    </row>
    <row r="372">
      <c r="A372" s="3" t="n"/>
      <c r="B372" s="4" t="n"/>
      <c r="C372" s="5" t="n"/>
      <c r="D372" s="3" t="n"/>
      <c r="E372" s="4" t="n"/>
      <c r="F372" s="4" t="n"/>
      <c r="G372" s="5" t="n"/>
      <c r="H372" s="5" t="n"/>
      <c r="I372" s="5" t="n"/>
      <c r="J372" s="6">
        <f>IF(G372="","",G372-C372-H372-I372)</f>
        <v/>
      </c>
      <c r="K372" s="7">
        <f>IF(E372="","",IF(F372="",TODAY(),F372)-E372)</f>
        <v/>
      </c>
      <c r="L372" s="8">
        <f>IF(F372&lt;&gt;"","Sold",IF(E372&lt;&gt;"","Online",IF(A372&lt;&gt;"","In stock","")))</f>
        <v/>
      </c>
    </row>
    <row r="373">
      <c r="A373" s="3" t="n"/>
      <c r="B373" s="4" t="n"/>
      <c r="C373" s="5" t="n"/>
      <c r="D373" s="3" t="n"/>
      <c r="E373" s="4" t="n"/>
      <c r="F373" s="4" t="n"/>
      <c r="G373" s="5" t="n"/>
      <c r="H373" s="5" t="n"/>
      <c r="I373" s="5" t="n"/>
      <c r="J373" s="6">
        <f>IF(G373="","",G373-C373-H373-I373)</f>
        <v/>
      </c>
      <c r="K373" s="7">
        <f>IF(E373="","",IF(F373="",TODAY(),F373)-E373)</f>
        <v/>
      </c>
      <c r="L373" s="8">
        <f>IF(F373&lt;&gt;"","Sold",IF(E373&lt;&gt;"","Online",IF(A373&lt;&gt;"","In stock","")))</f>
        <v/>
      </c>
    </row>
    <row r="374">
      <c r="A374" s="3" t="n"/>
      <c r="B374" s="4" t="n"/>
      <c r="C374" s="5" t="n"/>
      <c r="D374" s="3" t="n"/>
      <c r="E374" s="4" t="n"/>
      <c r="F374" s="4" t="n"/>
      <c r="G374" s="5" t="n"/>
      <c r="H374" s="5" t="n"/>
      <c r="I374" s="5" t="n"/>
      <c r="J374" s="6">
        <f>IF(G374="","",G374-C374-H374-I374)</f>
        <v/>
      </c>
      <c r="K374" s="7">
        <f>IF(E374="","",IF(F374="",TODAY(),F374)-E374)</f>
        <v/>
      </c>
      <c r="L374" s="8">
        <f>IF(F374&lt;&gt;"","Sold",IF(E374&lt;&gt;"","Online",IF(A374&lt;&gt;"","In stock","")))</f>
        <v/>
      </c>
    </row>
    <row r="375">
      <c r="A375" s="3" t="n"/>
      <c r="B375" s="4" t="n"/>
      <c r="C375" s="5" t="n"/>
      <c r="D375" s="3" t="n"/>
      <c r="E375" s="4" t="n"/>
      <c r="F375" s="4" t="n"/>
      <c r="G375" s="5" t="n"/>
      <c r="H375" s="5" t="n"/>
      <c r="I375" s="5" t="n"/>
      <c r="J375" s="6">
        <f>IF(G375="","",G375-C375-H375-I375)</f>
        <v/>
      </c>
      <c r="K375" s="7">
        <f>IF(E375="","",IF(F375="",TODAY(),F375)-E375)</f>
        <v/>
      </c>
      <c r="L375" s="8">
        <f>IF(F375&lt;&gt;"","Sold",IF(E375&lt;&gt;"","Online",IF(A375&lt;&gt;"","In stock","")))</f>
        <v/>
      </c>
    </row>
    <row r="376">
      <c r="A376" s="3" t="n"/>
      <c r="B376" s="4" t="n"/>
      <c r="C376" s="5" t="n"/>
      <c r="D376" s="3" t="n"/>
      <c r="E376" s="4" t="n"/>
      <c r="F376" s="4" t="n"/>
      <c r="G376" s="5" t="n"/>
      <c r="H376" s="5" t="n"/>
      <c r="I376" s="5" t="n"/>
      <c r="J376" s="6">
        <f>IF(G376="","",G376-C376-H376-I376)</f>
        <v/>
      </c>
      <c r="K376" s="7">
        <f>IF(E376="","",IF(F376="",TODAY(),F376)-E376)</f>
        <v/>
      </c>
      <c r="L376" s="8">
        <f>IF(F376&lt;&gt;"","Sold",IF(E376&lt;&gt;"","Online",IF(A376&lt;&gt;"","In stock","")))</f>
        <v/>
      </c>
    </row>
    <row r="377">
      <c r="A377" s="3" t="n"/>
      <c r="B377" s="4" t="n"/>
      <c r="C377" s="5" t="n"/>
      <c r="D377" s="3" t="n"/>
      <c r="E377" s="4" t="n"/>
      <c r="F377" s="4" t="n"/>
      <c r="G377" s="5" t="n"/>
      <c r="H377" s="5" t="n"/>
      <c r="I377" s="5" t="n"/>
      <c r="J377" s="6">
        <f>IF(G377="","",G377-C377-H377-I377)</f>
        <v/>
      </c>
      <c r="K377" s="7">
        <f>IF(E377="","",IF(F377="",TODAY(),F377)-E377)</f>
        <v/>
      </c>
      <c r="L377" s="8">
        <f>IF(F377&lt;&gt;"","Sold",IF(E377&lt;&gt;"","Online",IF(A377&lt;&gt;"","In stock","")))</f>
        <v/>
      </c>
    </row>
    <row r="378">
      <c r="A378" s="3" t="n"/>
      <c r="B378" s="4" t="n"/>
      <c r="C378" s="5" t="n"/>
      <c r="D378" s="3" t="n"/>
      <c r="E378" s="4" t="n"/>
      <c r="F378" s="4" t="n"/>
      <c r="G378" s="5" t="n"/>
      <c r="H378" s="5" t="n"/>
      <c r="I378" s="5" t="n"/>
      <c r="J378" s="6">
        <f>IF(G378="","",G378-C378-H378-I378)</f>
        <v/>
      </c>
      <c r="K378" s="7">
        <f>IF(E378="","",IF(F378="",TODAY(),F378)-E378)</f>
        <v/>
      </c>
      <c r="L378" s="8">
        <f>IF(F378&lt;&gt;"","Sold",IF(E378&lt;&gt;"","Online",IF(A378&lt;&gt;"","In stock","")))</f>
        <v/>
      </c>
    </row>
    <row r="379">
      <c r="A379" s="3" t="n"/>
      <c r="B379" s="4" t="n"/>
      <c r="C379" s="5" t="n"/>
      <c r="D379" s="3" t="n"/>
      <c r="E379" s="4" t="n"/>
      <c r="F379" s="4" t="n"/>
      <c r="G379" s="5" t="n"/>
      <c r="H379" s="5" t="n"/>
      <c r="I379" s="5" t="n"/>
      <c r="J379" s="6">
        <f>IF(G379="","",G379-C379-H379-I379)</f>
        <v/>
      </c>
      <c r="K379" s="7">
        <f>IF(E379="","",IF(F379="",TODAY(),F379)-E379)</f>
        <v/>
      </c>
      <c r="L379" s="8">
        <f>IF(F379&lt;&gt;"","Sold",IF(E379&lt;&gt;"","Online",IF(A379&lt;&gt;"","In stock","")))</f>
        <v/>
      </c>
    </row>
    <row r="380">
      <c r="A380" s="3" t="n"/>
      <c r="B380" s="4" t="n"/>
      <c r="C380" s="5" t="n"/>
      <c r="D380" s="3" t="n"/>
      <c r="E380" s="4" t="n"/>
      <c r="F380" s="4" t="n"/>
      <c r="G380" s="5" t="n"/>
      <c r="H380" s="5" t="n"/>
      <c r="I380" s="5" t="n"/>
      <c r="J380" s="6">
        <f>IF(G380="","",G380-C380-H380-I380)</f>
        <v/>
      </c>
      <c r="K380" s="7">
        <f>IF(E380="","",IF(F380="",TODAY(),F380)-E380)</f>
        <v/>
      </c>
      <c r="L380" s="8">
        <f>IF(F380&lt;&gt;"","Sold",IF(E380&lt;&gt;"","Online",IF(A380&lt;&gt;"","In stock","")))</f>
        <v/>
      </c>
    </row>
    <row r="381">
      <c r="A381" s="3" t="n"/>
      <c r="B381" s="4" t="n"/>
      <c r="C381" s="5" t="n"/>
      <c r="D381" s="3" t="n"/>
      <c r="E381" s="4" t="n"/>
      <c r="F381" s="4" t="n"/>
      <c r="G381" s="5" t="n"/>
      <c r="H381" s="5" t="n"/>
      <c r="I381" s="5" t="n"/>
      <c r="J381" s="6">
        <f>IF(G381="","",G381-C381-H381-I381)</f>
        <v/>
      </c>
      <c r="K381" s="7">
        <f>IF(E381="","",IF(F381="",TODAY(),F381)-E381)</f>
        <v/>
      </c>
      <c r="L381" s="8">
        <f>IF(F381&lt;&gt;"","Sold",IF(E381&lt;&gt;"","Online",IF(A381&lt;&gt;"","In stock","")))</f>
        <v/>
      </c>
    </row>
    <row r="382">
      <c r="A382" s="3" t="n"/>
      <c r="B382" s="4" t="n"/>
      <c r="C382" s="5" t="n"/>
      <c r="D382" s="3" t="n"/>
      <c r="E382" s="4" t="n"/>
      <c r="F382" s="4" t="n"/>
      <c r="G382" s="5" t="n"/>
      <c r="H382" s="5" t="n"/>
      <c r="I382" s="5" t="n"/>
      <c r="J382" s="6">
        <f>IF(G382="","",G382-C382-H382-I382)</f>
        <v/>
      </c>
      <c r="K382" s="7">
        <f>IF(E382="","",IF(F382="",TODAY(),F382)-E382)</f>
        <v/>
      </c>
      <c r="L382" s="8">
        <f>IF(F382&lt;&gt;"","Sold",IF(E382&lt;&gt;"","Online",IF(A382&lt;&gt;"","In stock","")))</f>
        <v/>
      </c>
    </row>
    <row r="383">
      <c r="A383" s="3" t="n"/>
      <c r="B383" s="4" t="n"/>
      <c r="C383" s="5" t="n"/>
      <c r="D383" s="3" t="n"/>
      <c r="E383" s="4" t="n"/>
      <c r="F383" s="4" t="n"/>
      <c r="G383" s="5" t="n"/>
      <c r="H383" s="5" t="n"/>
      <c r="I383" s="5" t="n"/>
      <c r="J383" s="6">
        <f>IF(G383="","",G383-C383-H383-I383)</f>
        <v/>
      </c>
      <c r="K383" s="7">
        <f>IF(E383="","",IF(F383="",TODAY(),F383)-E383)</f>
        <v/>
      </c>
      <c r="L383" s="8">
        <f>IF(F383&lt;&gt;"","Sold",IF(E383&lt;&gt;"","Online",IF(A383&lt;&gt;"","In stock","")))</f>
        <v/>
      </c>
    </row>
    <row r="384">
      <c r="A384" s="3" t="n"/>
      <c r="B384" s="4" t="n"/>
      <c r="C384" s="5" t="n"/>
      <c r="D384" s="3" t="n"/>
      <c r="E384" s="4" t="n"/>
      <c r="F384" s="4" t="n"/>
      <c r="G384" s="5" t="n"/>
      <c r="H384" s="5" t="n"/>
      <c r="I384" s="5" t="n"/>
      <c r="J384" s="6">
        <f>IF(G384="","",G384-C384-H384-I384)</f>
        <v/>
      </c>
      <c r="K384" s="7">
        <f>IF(E384="","",IF(F384="",TODAY(),F384)-E384)</f>
        <v/>
      </c>
      <c r="L384" s="8">
        <f>IF(F384&lt;&gt;"","Sold",IF(E384&lt;&gt;"","Online",IF(A384&lt;&gt;"","In stock","")))</f>
        <v/>
      </c>
    </row>
    <row r="385">
      <c r="A385" s="3" t="n"/>
      <c r="B385" s="4" t="n"/>
      <c r="C385" s="5" t="n"/>
      <c r="D385" s="3" t="n"/>
      <c r="E385" s="4" t="n"/>
      <c r="F385" s="4" t="n"/>
      <c r="G385" s="5" t="n"/>
      <c r="H385" s="5" t="n"/>
      <c r="I385" s="5" t="n"/>
      <c r="J385" s="6">
        <f>IF(G385="","",G385-C385-H385-I385)</f>
        <v/>
      </c>
      <c r="K385" s="7">
        <f>IF(E385="","",IF(F385="",TODAY(),F385)-E385)</f>
        <v/>
      </c>
      <c r="L385" s="8">
        <f>IF(F385&lt;&gt;"","Sold",IF(E385&lt;&gt;"","Online",IF(A385&lt;&gt;"","In stock","")))</f>
        <v/>
      </c>
    </row>
    <row r="386">
      <c r="A386" s="3" t="n"/>
      <c r="B386" s="4" t="n"/>
      <c r="C386" s="5" t="n"/>
      <c r="D386" s="3" t="n"/>
      <c r="E386" s="4" t="n"/>
      <c r="F386" s="4" t="n"/>
      <c r="G386" s="5" t="n"/>
      <c r="H386" s="5" t="n"/>
      <c r="I386" s="5" t="n"/>
      <c r="J386" s="6">
        <f>IF(G386="","",G386-C386-H386-I386)</f>
        <v/>
      </c>
      <c r="K386" s="7">
        <f>IF(E386="","",IF(F386="",TODAY(),F386)-E386)</f>
        <v/>
      </c>
      <c r="L386" s="8">
        <f>IF(F386&lt;&gt;"","Sold",IF(E386&lt;&gt;"","Online",IF(A386&lt;&gt;"","In stock","")))</f>
        <v/>
      </c>
    </row>
    <row r="387">
      <c r="A387" s="3" t="n"/>
      <c r="B387" s="4" t="n"/>
      <c r="C387" s="5" t="n"/>
      <c r="D387" s="3" t="n"/>
      <c r="E387" s="4" t="n"/>
      <c r="F387" s="4" t="n"/>
      <c r="G387" s="5" t="n"/>
      <c r="H387" s="5" t="n"/>
      <c r="I387" s="5" t="n"/>
      <c r="J387" s="6">
        <f>IF(G387="","",G387-C387-H387-I387)</f>
        <v/>
      </c>
      <c r="K387" s="7">
        <f>IF(E387="","",IF(F387="",TODAY(),F387)-E387)</f>
        <v/>
      </c>
      <c r="L387" s="8">
        <f>IF(F387&lt;&gt;"","Sold",IF(E387&lt;&gt;"","Online",IF(A387&lt;&gt;"","In stock","")))</f>
        <v/>
      </c>
    </row>
    <row r="388">
      <c r="A388" s="3" t="n"/>
      <c r="B388" s="4" t="n"/>
      <c r="C388" s="5" t="n"/>
      <c r="D388" s="3" t="n"/>
      <c r="E388" s="4" t="n"/>
      <c r="F388" s="4" t="n"/>
      <c r="G388" s="5" t="n"/>
      <c r="H388" s="5" t="n"/>
      <c r="I388" s="5" t="n"/>
      <c r="J388" s="6">
        <f>IF(G388="","",G388-C388-H388-I388)</f>
        <v/>
      </c>
      <c r="K388" s="7">
        <f>IF(E388="","",IF(F388="",TODAY(),F388)-E388)</f>
        <v/>
      </c>
      <c r="L388" s="8">
        <f>IF(F388&lt;&gt;"","Sold",IF(E388&lt;&gt;"","Online",IF(A388&lt;&gt;"","In stock","")))</f>
        <v/>
      </c>
    </row>
    <row r="389">
      <c r="A389" s="3" t="n"/>
      <c r="B389" s="4" t="n"/>
      <c r="C389" s="5" t="n"/>
      <c r="D389" s="3" t="n"/>
      <c r="E389" s="4" t="n"/>
      <c r="F389" s="4" t="n"/>
      <c r="G389" s="5" t="n"/>
      <c r="H389" s="5" t="n"/>
      <c r="I389" s="5" t="n"/>
      <c r="J389" s="6">
        <f>IF(G389="","",G389-C389-H389-I389)</f>
        <v/>
      </c>
      <c r="K389" s="7">
        <f>IF(E389="","",IF(F389="",TODAY(),F389)-E389)</f>
        <v/>
      </c>
      <c r="L389" s="8">
        <f>IF(F389&lt;&gt;"","Sold",IF(E389&lt;&gt;"","Online",IF(A389&lt;&gt;"","In stock","")))</f>
        <v/>
      </c>
    </row>
    <row r="390">
      <c r="A390" s="3" t="n"/>
      <c r="B390" s="4" t="n"/>
      <c r="C390" s="5" t="n"/>
      <c r="D390" s="3" t="n"/>
      <c r="E390" s="4" t="n"/>
      <c r="F390" s="4" t="n"/>
      <c r="G390" s="5" t="n"/>
      <c r="H390" s="5" t="n"/>
      <c r="I390" s="5" t="n"/>
      <c r="J390" s="6">
        <f>IF(G390="","",G390-C390-H390-I390)</f>
        <v/>
      </c>
      <c r="K390" s="7">
        <f>IF(E390="","",IF(F390="",TODAY(),F390)-E390)</f>
        <v/>
      </c>
      <c r="L390" s="8">
        <f>IF(F390&lt;&gt;"","Sold",IF(E390&lt;&gt;"","Online",IF(A390&lt;&gt;"","In stock","")))</f>
        <v/>
      </c>
    </row>
    <row r="391">
      <c r="A391" s="3" t="n"/>
      <c r="B391" s="4" t="n"/>
      <c r="C391" s="5" t="n"/>
      <c r="D391" s="3" t="n"/>
      <c r="E391" s="4" t="n"/>
      <c r="F391" s="4" t="n"/>
      <c r="G391" s="5" t="n"/>
      <c r="H391" s="5" t="n"/>
      <c r="I391" s="5" t="n"/>
      <c r="J391" s="6">
        <f>IF(G391="","",G391-C391-H391-I391)</f>
        <v/>
      </c>
      <c r="K391" s="7">
        <f>IF(E391="","",IF(F391="",TODAY(),F391)-E391)</f>
        <v/>
      </c>
      <c r="L391" s="8">
        <f>IF(F391&lt;&gt;"","Sold",IF(E391&lt;&gt;"","Online",IF(A391&lt;&gt;"","In stock","")))</f>
        <v/>
      </c>
    </row>
    <row r="392">
      <c r="A392" s="3" t="n"/>
      <c r="B392" s="4" t="n"/>
      <c r="C392" s="5" t="n"/>
      <c r="D392" s="3" t="n"/>
      <c r="E392" s="4" t="n"/>
      <c r="F392" s="4" t="n"/>
      <c r="G392" s="5" t="n"/>
      <c r="H392" s="5" t="n"/>
      <c r="I392" s="5" t="n"/>
      <c r="J392" s="6">
        <f>IF(G392="","",G392-C392-H392-I392)</f>
        <v/>
      </c>
      <c r="K392" s="7">
        <f>IF(E392="","",IF(F392="",TODAY(),F392)-E392)</f>
        <v/>
      </c>
      <c r="L392" s="8">
        <f>IF(F392&lt;&gt;"","Sold",IF(E392&lt;&gt;"","Online",IF(A392&lt;&gt;"","In stock","")))</f>
        <v/>
      </c>
    </row>
    <row r="393">
      <c r="A393" s="3" t="n"/>
      <c r="B393" s="4" t="n"/>
      <c r="C393" s="5" t="n"/>
      <c r="D393" s="3" t="n"/>
      <c r="E393" s="4" t="n"/>
      <c r="F393" s="4" t="n"/>
      <c r="G393" s="5" t="n"/>
      <c r="H393" s="5" t="n"/>
      <c r="I393" s="5" t="n"/>
      <c r="J393" s="6">
        <f>IF(G393="","",G393-C393-H393-I393)</f>
        <v/>
      </c>
      <c r="K393" s="7">
        <f>IF(E393="","",IF(F393="",TODAY(),F393)-E393)</f>
        <v/>
      </c>
      <c r="L393" s="8">
        <f>IF(F393&lt;&gt;"","Sold",IF(E393&lt;&gt;"","Online",IF(A393&lt;&gt;"","In stock","")))</f>
        <v/>
      </c>
    </row>
    <row r="394">
      <c r="A394" s="3" t="n"/>
      <c r="B394" s="4" t="n"/>
      <c r="C394" s="5" t="n"/>
      <c r="D394" s="3" t="n"/>
      <c r="E394" s="4" t="n"/>
      <c r="F394" s="4" t="n"/>
      <c r="G394" s="5" t="n"/>
      <c r="H394" s="5" t="n"/>
      <c r="I394" s="5" t="n"/>
      <c r="J394" s="6">
        <f>IF(G394="","",G394-C394-H394-I394)</f>
        <v/>
      </c>
      <c r="K394" s="7">
        <f>IF(E394="","",IF(F394="",TODAY(),F394)-E394)</f>
        <v/>
      </c>
      <c r="L394" s="8">
        <f>IF(F394&lt;&gt;"","Sold",IF(E394&lt;&gt;"","Online",IF(A394&lt;&gt;"","In stock","")))</f>
        <v/>
      </c>
    </row>
    <row r="395">
      <c r="A395" s="3" t="n"/>
      <c r="B395" s="4" t="n"/>
      <c r="C395" s="5" t="n"/>
      <c r="D395" s="3" t="n"/>
      <c r="E395" s="4" t="n"/>
      <c r="F395" s="4" t="n"/>
      <c r="G395" s="5" t="n"/>
      <c r="H395" s="5" t="n"/>
      <c r="I395" s="5" t="n"/>
      <c r="J395" s="6">
        <f>IF(G395="","",G395-C395-H395-I395)</f>
        <v/>
      </c>
      <c r="K395" s="7">
        <f>IF(E395="","",IF(F395="",TODAY(),F395)-E395)</f>
        <v/>
      </c>
      <c r="L395" s="8">
        <f>IF(F395&lt;&gt;"","Sold",IF(E395&lt;&gt;"","Online",IF(A395&lt;&gt;"","In stock","")))</f>
        <v/>
      </c>
    </row>
    <row r="396">
      <c r="A396" s="3" t="n"/>
      <c r="B396" s="4" t="n"/>
      <c r="C396" s="5" t="n"/>
      <c r="D396" s="3" t="n"/>
      <c r="E396" s="4" t="n"/>
      <c r="F396" s="4" t="n"/>
      <c r="G396" s="5" t="n"/>
      <c r="H396" s="5" t="n"/>
      <c r="I396" s="5" t="n"/>
      <c r="J396" s="6">
        <f>IF(G396="","",G396-C396-H396-I396)</f>
        <v/>
      </c>
      <c r="K396" s="7">
        <f>IF(E396="","",IF(F396="",TODAY(),F396)-E396)</f>
        <v/>
      </c>
      <c r="L396" s="8">
        <f>IF(F396&lt;&gt;"","Sold",IF(E396&lt;&gt;"","Online",IF(A396&lt;&gt;"","In stock","")))</f>
        <v/>
      </c>
    </row>
    <row r="397">
      <c r="A397" s="3" t="n"/>
      <c r="B397" s="4" t="n"/>
      <c r="C397" s="5" t="n"/>
      <c r="D397" s="3" t="n"/>
      <c r="E397" s="4" t="n"/>
      <c r="F397" s="4" t="n"/>
      <c r="G397" s="5" t="n"/>
      <c r="H397" s="5" t="n"/>
      <c r="I397" s="5" t="n"/>
      <c r="J397" s="6">
        <f>IF(G397="","",G397-C397-H397-I397)</f>
        <v/>
      </c>
      <c r="K397" s="7">
        <f>IF(E397="","",IF(F397="",TODAY(),F397)-E397)</f>
        <v/>
      </c>
      <c r="L397" s="8">
        <f>IF(F397&lt;&gt;"","Sold",IF(E397&lt;&gt;"","Online",IF(A397&lt;&gt;"","In stock","")))</f>
        <v/>
      </c>
    </row>
    <row r="398">
      <c r="A398" s="3" t="n"/>
      <c r="B398" s="4" t="n"/>
      <c r="C398" s="5" t="n"/>
      <c r="D398" s="3" t="n"/>
      <c r="E398" s="4" t="n"/>
      <c r="F398" s="4" t="n"/>
      <c r="G398" s="5" t="n"/>
      <c r="H398" s="5" t="n"/>
      <c r="I398" s="5" t="n"/>
      <c r="J398" s="6">
        <f>IF(G398="","",G398-C398-H398-I398)</f>
        <v/>
      </c>
      <c r="K398" s="7">
        <f>IF(E398="","",IF(F398="",TODAY(),F398)-E398)</f>
        <v/>
      </c>
      <c r="L398" s="8">
        <f>IF(F398&lt;&gt;"","Sold",IF(E398&lt;&gt;"","Online",IF(A398&lt;&gt;"","In stock","")))</f>
        <v/>
      </c>
    </row>
    <row r="399">
      <c r="A399" s="3" t="n"/>
      <c r="B399" s="4" t="n"/>
      <c r="C399" s="5" t="n"/>
      <c r="D399" s="3" t="n"/>
      <c r="E399" s="4" t="n"/>
      <c r="F399" s="4" t="n"/>
      <c r="G399" s="5" t="n"/>
      <c r="H399" s="5" t="n"/>
      <c r="I399" s="5" t="n"/>
      <c r="J399" s="6">
        <f>IF(G399="","",G399-C399-H399-I399)</f>
        <v/>
      </c>
      <c r="K399" s="7">
        <f>IF(E399="","",IF(F399="",TODAY(),F399)-E399)</f>
        <v/>
      </c>
      <c r="L399" s="8">
        <f>IF(F399&lt;&gt;"","Sold",IF(E399&lt;&gt;"","Online",IF(A399&lt;&gt;"","In stock","")))</f>
        <v/>
      </c>
    </row>
    <row r="400">
      <c r="A400" s="3" t="n"/>
      <c r="B400" s="4" t="n"/>
      <c r="C400" s="5" t="n"/>
      <c r="D400" s="3" t="n"/>
      <c r="E400" s="4" t="n"/>
      <c r="F400" s="4" t="n"/>
      <c r="G400" s="5" t="n"/>
      <c r="H400" s="5" t="n"/>
      <c r="I400" s="5" t="n"/>
      <c r="J400" s="6">
        <f>IF(G400="","",G400-C400-H400-I400)</f>
        <v/>
      </c>
      <c r="K400" s="7">
        <f>IF(E400="","",IF(F400="",TODAY(),F400)-E400)</f>
        <v/>
      </c>
      <c r="L400" s="8">
        <f>IF(F400&lt;&gt;"","Sold",IF(E400&lt;&gt;"","Online",IF(A400&lt;&gt;"","In stock","")))</f>
        <v/>
      </c>
    </row>
    <row r="401">
      <c r="A401" s="3" t="n"/>
      <c r="B401" s="4" t="n"/>
      <c r="C401" s="5" t="n"/>
      <c r="D401" s="3" t="n"/>
      <c r="E401" s="4" t="n"/>
      <c r="F401" s="4" t="n"/>
      <c r="G401" s="5" t="n"/>
      <c r="H401" s="5" t="n"/>
      <c r="I401" s="5" t="n"/>
      <c r="J401" s="6">
        <f>IF(G401="","",G401-C401-H401-I401)</f>
        <v/>
      </c>
      <c r="K401" s="7">
        <f>IF(E401="","",IF(F401="",TODAY(),F401)-E401)</f>
        <v/>
      </c>
      <c r="L401" s="8">
        <f>IF(F401&lt;&gt;"","Sold",IF(E401&lt;&gt;"","Online",IF(A401&lt;&gt;"","In stock","")))</f>
        <v/>
      </c>
    </row>
    <row r="402">
      <c r="A402" s="3" t="n"/>
      <c r="B402" s="4" t="n"/>
      <c r="C402" s="5" t="n"/>
      <c r="D402" s="3" t="n"/>
      <c r="E402" s="4" t="n"/>
      <c r="F402" s="4" t="n"/>
      <c r="G402" s="5" t="n"/>
      <c r="H402" s="5" t="n"/>
      <c r="I402" s="5" t="n"/>
      <c r="J402" s="6">
        <f>IF(G402="","",G402-C402-H402-I402)</f>
        <v/>
      </c>
      <c r="K402" s="7">
        <f>IF(E402="","",IF(F402="",TODAY(),F402)-E402)</f>
        <v/>
      </c>
      <c r="L402" s="8">
        <f>IF(F402&lt;&gt;"","Sold",IF(E402&lt;&gt;"","Online",IF(A402&lt;&gt;"","In stock","")))</f>
        <v/>
      </c>
    </row>
    <row r="403">
      <c r="A403" s="3" t="n"/>
      <c r="B403" s="4" t="n"/>
      <c r="C403" s="5" t="n"/>
      <c r="D403" s="3" t="n"/>
      <c r="E403" s="4" t="n"/>
      <c r="F403" s="4" t="n"/>
      <c r="G403" s="5" t="n"/>
      <c r="H403" s="5" t="n"/>
      <c r="I403" s="5" t="n"/>
      <c r="J403" s="6">
        <f>IF(G403="","",G403-C403-H403-I403)</f>
        <v/>
      </c>
      <c r="K403" s="7">
        <f>IF(E403="","",IF(F403="",TODAY(),F403)-E403)</f>
        <v/>
      </c>
      <c r="L403" s="8">
        <f>IF(F403&lt;&gt;"","Sold",IF(E403&lt;&gt;"","Online",IF(A403&lt;&gt;"","In stock","")))</f>
        <v/>
      </c>
    </row>
    <row r="404">
      <c r="A404" s="3" t="n"/>
      <c r="B404" s="4" t="n"/>
      <c r="C404" s="5" t="n"/>
      <c r="D404" s="3" t="n"/>
      <c r="E404" s="4" t="n"/>
      <c r="F404" s="4" t="n"/>
      <c r="G404" s="5" t="n"/>
      <c r="H404" s="5" t="n"/>
      <c r="I404" s="5" t="n"/>
      <c r="J404" s="6">
        <f>IF(G404="","",G404-C404-H404-I404)</f>
        <v/>
      </c>
      <c r="K404" s="7">
        <f>IF(E404="","",IF(F404="",TODAY(),F404)-E404)</f>
        <v/>
      </c>
      <c r="L404" s="8">
        <f>IF(F404&lt;&gt;"","Sold",IF(E404&lt;&gt;"","Online",IF(A404&lt;&gt;"","In stock","")))</f>
        <v/>
      </c>
    </row>
    <row r="405">
      <c r="A405" s="3" t="n"/>
      <c r="B405" s="4" t="n"/>
      <c r="C405" s="5" t="n"/>
      <c r="D405" s="3" t="n"/>
      <c r="E405" s="4" t="n"/>
      <c r="F405" s="4" t="n"/>
      <c r="G405" s="5" t="n"/>
      <c r="H405" s="5" t="n"/>
      <c r="I405" s="5" t="n"/>
      <c r="J405" s="6">
        <f>IF(G405="","",G405-C405-H405-I405)</f>
        <v/>
      </c>
      <c r="K405" s="7">
        <f>IF(E405="","",IF(F405="",TODAY(),F405)-E405)</f>
        <v/>
      </c>
      <c r="L405" s="8">
        <f>IF(F405&lt;&gt;"","Sold",IF(E405&lt;&gt;"","Online",IF(A405&lt;&gt;"","In stock","")))</f>
        <v/>
      </c>
    </row>
    <row r="406">
      <c r="A406" s="3" t="n"/>
      <c r="B406" s="4" t="n"/>
      <c r="C406" s="5" t="n"/>
      <c r="D406" s="3" t="n"/>
      <c r="E406" s="4" t="n"/>
      <c r="F406" s="4" t="n"/>
      <c r="G406" s="5" t="n"/>
      <c r="H406" s="5" t="n"/>
      <c r="I406" s="5" t="n"/>
      <c r="J406" s="6">
        <f>IF(G406="","",G406-C406-H406-I406)</f>
        <v/>
      </c>
      <c r="K406" s="7">
        <f>IF(E406="","",IF(F406="",TODAY(),F406)-E406)</f>
        <v/>
      </c>
      <c r="L406" s="8">
        <f>IF(F406&lt;&gt;"","Sold",IF(E406&lt;&gt;"","Online",IF(A406&lt;&gt;"","In stock","")))</f>
        <v/>
      </c>
    </row>
    <row r="407">
      <c r="A407" s="3" t="n"/>
      <c r="B407" s="4" t="n"/>
      <c r="C407" s="5" t="n"/>
      <c r="D407" s="3" t="n"/>
      <c r="E407" s="4" t="n"/>
      <c r="F407" s="4" t="n"/>
      <c r="G407" s="5" t="n"/>
      <c r="H407" s="5" t="n"/>
      <c r="I407" s="5" t="n"/>
      <c r="J407" s="6">
        <f>IF(G407="","",G407-C407-H407-I407)</f>
        <v/>
      </c>
      <c r="K407" s="7">
        <f>IF(E407="","",IF(F407="",TODAY(),F407)-E407)</f>
        <v/>
      </c>
      <c r="L407" s="8">
        <f>IF(F407&lt;&gt;"","Sold",IF(E407&lt;&gt;"","Online",IF(A407&lt;&gt;"","In stock","")))</f>
        <v/>
      </c>
    </row>
    <row r="408">
      <c r="A408" s="3" t="n"/>
      <c r="B408" s="4" t="n"/>
      <c r="C408" s="5" t="n"/>
      <c r="D408" s="3" t="n"/>
      <c r="E408" s="4" t="n"/>
      <c r="F408" s="4" t="n"/>
      <c r="G408" s="5" t="n"/>
      <c r="H408" s="5" t="n"/>
      <c r="I408" s="5" t="n"/>
      <c r="J408" s="6">
        <f>IF(G408="","",G408-C408-H408-I408)</f>
        <v/>
      </c>
      <c r="K408" s="7">
        <f>IF(E408="","",IF(F408="",TODAY(),F408)-E408)</f>
        <v/>
      </c>
      <c r="L408" s="8">
        <f>IF(F408&lt;&gt;"","Sold",IF(E408&lt;&gt;"","Online",IF(A408&lt;&gt;"","In stock","")))</f>
        <v/>
      </c>
    </row>
    <row r="409">
      <c r="A409" s="3" t="n"/>
      <c r="B409" s="4" t="n"/>
      <c r="C409" s="5" t="n"/>
      <c r="D409" s="3" t="n"/>
      <c r="E409" s="4" t="n"/>
      <c r="F409" s="4" t="n"/>
      <c r="G409" s="5" t="n"/>
      <c r="H409" s="5" t="n"/>
      <c r="I409" s="5" t="n"/>
      <c r="J409" s="6">
        <f>IF(G409="","",G409-C409-H409-I409)</f>
        <v/>
      </c>
      <c r="K409" s="7">
        <f>IF(E409="","",IF(F409="",TODAY(),F409)-E409)</f>
        <v/>
      </c>
      <c r="L409" s="8">
        <f>IF(F409&lt;&gt;"","Sold",IF(E409&lt;&gt;"","Online",IF(A409&lt;&gt;"","In stock","")))</f>
        <v/>
      </c>
    </row>
    <row r="410">
      <c r="A410" s="3" t="n"/>
      <c r="B410" s="4" t="n"/>
      <c r="C410" s="5" t="n"/>
      <c r="D410" s="3" t="n"/>
      <c r="E410" s="4" t="n"/>
      <c r="F410" s="4" t="n"/>
      <c r="G410" s="5" t="n"/>
      <c r="H410" s="5" t="n"/>
      <c r="I410" s="5" t="n"/>
      <c r="J410" s="6">
        <f>IF(G410="","",G410-C410-H410-I410)</f>
        <v/>
      </c>
      <c r="K410" s="7">
        <f>IF(E410="","",IF(F410="",TODAY(),F410)-E410)</f>
        <v/>
      </c>
      <c r="L410" s="8">
        <f>IF(F410&lt;&gt;"","Sold",IF(E410&lt;&gt;"","Online",IF(A410&lt;&gt;"","In stock","")))</f>
        <v/>
      </c>
    </row>
    <row r="411">
      <c r="A411" s="3" t="n"/>
      <c r="B411" s="4" t="n"/>
      <c r="C411" s="5" t="n"/>
      <c r="D411" s="3" t="n"/>
      <c r="E411" s="4" t="n"/>
      <c r="F411" s="4" t="n"/>
      <c r="G411" s="5" t="n"/>
      <c r="H411" s="5" t="n"/>
      <c r="I411" s="5" t="n"/>
      <c r="J411" s="6">
        <f>IF(G411="","",G411-C411-H411-I411)</f>
        <v/>
      </c>
      <c r="K411" s="7">
        <f>IF(E411="","",IF(F411="",TODAY(),F411)-E411)</f>
        <v/>
      </c>
      <c r="L411" s="8">
        <f>IF(F411&lt;&gt;"","Sold",IF(E411&lt;&gt;"","Online",IF(A411&lt;&gt;"","In stock","")))</f>
        <v/>
      </c>
    </row>
    <row r="412">
      <c r="A412" s="3" t="n"/>
      <c r="B412" s="4" t="n"/>
      <c r="C412" s="5" t="n"/>
      <c r="D412" s="3" t="n"/>
      <c r="E412" s="4" t="n"/>
      <c r="F412" s="4" t="n"/>
      <c r="G412" s="5" t="n"/>
      <c r="H412" s="5" t="n"/>
      <c r="I412" s="5" t="n"/>
      <c r="J412" s="6">
        <f>IF(G412="","",G412-C412-H412-I412)</f>
        <v/>
      </c>
      <c r="K412" s="7">
        <f>IF(E412="","",IF(F412="",TODAY(),F412)-E412)</f>
        <v/>
      </c>
      <c r="L412" s="8">
        <f>IF(F412&lt;&gt;"","Sold",IF(E412&lt;&gt;"","Online",IF(A412&lt;&gt;"","In stock","")))</f>
        <v/>
      </c>
    </row>
    <row r="413">
      <c r="A413" s="3" t="n"/>
      <c r="B413" s="4" t="n"/>
      <c r="C413" s="5" t="n"/>
      <c r="D413" s="3" t="n"/>
      <c r="E413" s="4" t="n"/>
      <c r="F413" s="4" t="n"/>
      <c r="G413" s="5" t="n"/>
      <c r="H413" s="5" t="n"/>
      <c r="I413" s="5" t="n"/>
      <c r="J413" s="6">
        <f>IF(G413="","",G413-C413-H413-I413)</f>
        <v/>
      </c>
      <c r="K413" s="7">
        <f>IF(E413="","",IF(F413="",TODAY(),F413)-E413)</f>
        <v/>
      </c>
      <c r="L413" s="8">
        <f>IF(F413&lt;&gt;"","Sold",IF(E413&lt;&gt;"","Online",IF(A413&lt;&gt;"","In stock","")))</f>
        <v/>
      </c>
    </row>
    <row r="414">
      <c r="A414" s="3" t="n"/>
      <c r="B414" s="4" t="n"/>
      <c r="C414" s="5" t="n"/>
      <c r="D414" s="3" t="n"/>
      <c r="E414" s="4" t="n"/>
      <c r="F414" s="4" t="n"/>
      <c r="G414" s="5" t="n"/>
      <c r="H414" s="5" t="n"/>
      <c r="I414" s="5" t="n"/>
      <c r="J414" s="6">
        <f>IF(G414="","",G414-C414-H414-I414)</f>
        <v/>
      </c>
      <c r="K414" s="7">
        <f>IF(E414="","",IF(F414="",TODAY(),F414)-E414)</f>
        <v/>
      </c>
      <c r="L414" s="8">
        <f>IF(F414&lt;&gt;"","Sold",IF(E414&lt;&gt;"","Online",IF(A414&lt;&gt;"","In stock","")))</f>
        <v/>
      </c>
    </row>
    <row r="415">
      <c r="A415" s="3" t="n"/>
      <c r="B415" s="4" t="n"/>
      <c r="C415" s="5" t="n"/>
      <c r="D415" s="3" t="n"/>
      <c r="E415" s="4" t="n"/>
      <c r="F415" s="4" t="n"/>
      <c r="G415" s="5" t="n"/>
      <c r="H415" s="5" t="n"/>
      <c r="I415" s="5" t="n"/>
      <c r="J415" s="6">
        <f>IF(G415="","",G415-C415-H415-I415)</f>
        <v/>
      </c>
      <c r="K415" s="7">
        <f>IF(E415="","",IF(F415="",TODAY(),F415)-E415)</f>
        <v/>
      </c>
      <c r="L415" s="8">
        <f>IF(F415&lt;&gt;"","Sold",IF(E415&lt;&gt;"","Online",IF(A415&lt;&gt;"","In stock","")))</f>
        <v/>
      </c>
    </row>
    <row r="416">
      <c r="A416" s="3" t="n"/>
      <c r="B416" s="4" t="n"/>
      <c r="C416" s="5" t="n"/>
      <c r="D416" s="3" t="n"/>
      <c r="E416" s="4" t="n"/>
      <c r="F416" s="4" t="n"/>
      <c r="G416" s="5" t="n"/>
      <c r="H416" s="5" t="n"/>
      <c r="I416" s="5" t="n"/>
      <c r="J416" s="6">
        <f>IF(G416="","",G416-C416-H416-I416)</f>
        <v/>
      </c>
      <c r="K416" s="7">
        <f>IF(E416="","",IF(F416="",TODAY(),F416)-E416)</f>
        <v/>
      </c>
      <c r="L416" s="8">
        <f>IF(F416&lt;&gt;"","Sold",IF(E416&lt;&gt;"","Online",IF(A416&lt;&gt;"","In stock","")))</f>
        <v/>
      </c>
    </row>
    <row r="417">
      <c r="A417" s="3" t="n"/>
      <c r="B417" s="4" t="n"/>
      <c r="C417" s="5" t="n"/>
      <c r="D417" s="3" t="n"/>
      <c r="E417" s="4" t="n"/>
      <c r="F417" s="4" t="n"/>
      <c r="G417" s="5" t="n"/>
      <c r="H417" s="5" t="n"/>
      <c r="I417" s="5" t="n"/>
      <c r="J417" s="6">
        <f>IF(G417="","",G417-C417-H417-I417)</f>
        <v/>
      </c>
      <c r="K417" s="7">
        <f>IF(E417="","",IF(F417="",TODAY(),F417)-E417)</f>
        <v/>
      </c>
      <c r="L417" s="8">
        <f>IF(F417&lt;&gt;"","Sold",IF(E417&lt;&gt;"","Online",IF(A417&lt;&gt;"","In stock","")))</f>
        <v/>
      </c>
    </row>
    <row r="418">
      <c r="A418" s="3" t="n"/>
      <c r="B418" s="4" t="n"/>
      <c r="C418" s="5" t="n"/>
      <c r="D418" s="3" t="n"/>
      <c r="E418" s="4" t="n"/>
      <c r="F418" s="4" t="n"/>
      <c r="G418" s="5" t="n"/>
      <c r="H418" s="5" t="n"/>
      <c r="I418" s="5" t="n"/>
      <c r="J418" s="6">
        <f>IF(G418="","",G418-C418-H418-I418)</f>
        <v/>
      </c>
      <c r="K418" s="7">
        <f>IF(E418="","",IF(F418="",TODAY(),F418)-E418)</f>
        <v/>
      </c>
      <c r="L418" s="8">
        <f>IF(F418&lt;&gt;"","Sold",IF(E418&lt;&gt;"","Online",IF(A418&lt;&gt;"","In stock","")))</f>
        <v/>
      </c>
    </row>
    <row r="419">
      <c r="A419" s="3" t="n"/>
      <c r="B419" s="4" t="n"/>
      <c r="C419" s="5" t="n"/>
      <c r="D419" s="3" t="n"/>
      <c r="E419" s="4" t="n"/>
      <c r="F419" s="4" t="n"/>
      <c r="G419" s="5" t="n"/>
      <c r="H419" s="5" t="n"/>
      <c r="I419" s="5" t="n"/>
      <c r="J419" s="6">
        <f>IF(G419="","",G419-C419-H419-I419)</f>
        <v/>
      </c>
      <c r="K419" s="7">
        <f>IF(E419="","",IF(F419="",TODAY(),F419)-E419)</f>
        <v/>
      </c>
      <c r="L419" s="8">
        <f>IF(F419&lt;&gt;"","Sold",IF(E419&lt;&gt;"","Online",IF(A419&lt;&gt;"","In stock","")))</f>
        <v/>
      </c>
    </row>
    <row r="420">
      <c r="A420" s="3" t="n"/>
      <c r="B420" s="4" t="n"/>
      <c r="C420" s="5" t="n"/>
      <c r="D420" s="3" t="n"/>
      <c r="E420" s="4" t="n"/>
      <c r="F420" s="4" t="n"/>
      <c r="G420" s="5" t="n"/>
      <c r="H420" s="5" t="n"/>
      <c r="I420" s="5" t="n"/>
      <c r="J420" s="6">
        <f>IF(G420="","",G420-C420-H420-I420)</f>
        <v/>
      </c>
      <c r="K420" s="7">
        <f>IF(E420="","",IF(F420="",TODAY(),F420)-E420)</f>
        <v/>
      </c>
      <c r="L420" s="8">
        <f>IF(F420&lt;&gt;"","Sold",IF(E420&lt;&gt;"","Online",IF(A420&lt;&gt;"","In stock","")))</f>
        <v/>
      </c>
    </row>
    <row r="421">
      <c r="A421" s="3" t="n"/>
      <c r="B421" s="4" t="n"/>
      <c r="C421" s="5" t="n"/>
      <c r="D421" s="3" t="n"/>
      <c r="E421" s="4" t="n"/>
      <c r="F421" s="4" t="n"/>
      <c r="G421" s="5" t="n"/>
      <c r="H421" s="5" t="n"/>
      <c r="I421" s="5" t="n"/>
      <c r="J421" s="6">
        <f>IF(G421="","",G421-C421-H421-I421)</f>
        <v/>
      </c>
      <c r="K421" s="7">
        <f>IF(E421="","",IF(F421="",TODAY(),F421)-E421)</f>
        <v/>
      </c>
      <c r="L421" s="8">
        <f>IF(F421&lt;&gt;"","Sold",IF(E421&lt;&gt;"","Online",IF(A421&lt;&gt;"","In stock","")))</f>
        <v/>
      </c>
    </row>
    <row r="422">
      <c r="A422" s="3" t="n"/>
      <c r="B422" s="4" t="n"/>
      <c r="C422" s="5" t="n"/>
      <c r="D422" s="3" t="n"/>
      <c r="E422" s="4" t="n"/>
      <c r="F422" s="4" t="n"/>
      <c r="G422" s="5" t="n"/>
      <c r="H422" s="5" t="n"/>
      <c r="I422" s="5" t="n"/>
      <c r="J422" s="6">
        <f>IF(G422="","",G422-C422-H422-I422)</f>
        <v/>
      </c>
      <c r="K422" s="7">
        <f>IF(E422="","",IF(F422="",TODAY(),F422)-E422)</f>
        <v/>
      </c>
      <c r="L422" s="8">
        <f>IF(F422&lt;&gt;"","Sold",IF(E422&lt;&gt;"","Online",IF(A422&lt;&gt;"","In stock","")))</f>
        <v/>
      </c>
    </row>
    <row r="423">
      <c r="A423" s="3" t="n"/>
      <c r="B423" s="4" t="n"/>
      <c r="C423" s="5" t="n"/>
      <c r="D423" s="3" t="n"/>
      <c r="E423" s="4" t="n"/>
      <c r="F423" s="4" t="n"/>
      <c r="G423" s="5" t="n"/>
      <c r="H423" s="5" t="n"/>
      <c r="I423" s="5" t="n"/>
      <c r="J423" s="6">
        <f>IF(G423="","",G423-C423-H423-I423)</f>
        <v/>
      </c>
      <c r="K423" s="7">
        <f>IF(E423="","",IF(F423="",TODAY(),F423)-E423)</f>
        <v/>
      </c>
      <c r="L423" s="8">
        <f>IF(F423&lt;&gt;"","Sold",IF(E423&lt;&gt;"","Online",IF(A423&lt;&gt;"","In stock","")))</f>
        <v/>
      </c>
    </row>
    <row r="424">
      <c r="A424" s="3" t="n"/>
      <c r="B424" s="4" t="n"/>
      <c r="C424" s="5" t="n"/>
      <c r="D424" s="3" t="n"/>
      <c r="E424" s="4" t="n"/>
      <c r="F424" s="4" t="n"/>
      <c r="G424" s="5" t="n"/>
      <c r="H424" s="5" t="n"/>
      <c r="I424" s="5" t="n"/>
      <c r="J424" s="6">
        <f>IF(G424="","",G424-C424-H424-I424)</f>
        <v/>
      </c>
      <c r="K424" s="7">
        <f>IF(E424="","",IF(F424="",TODAY(),F424)-E424)</f>
        <v/>
      </c>
      <c r="L424" s="8">
        <f>IF(F424&lt;&gt;"","Sold",IF(E424&lt;&gt;"","Online",IF(A424&lt;&gt;"","In stock","")))</f>
        <v/>
      </c>
    </row>
    <row r="425">
      <c r="A425" s="3" t="n"/>
      <c r="B425" s="4" t="n"/>
      <c r="C425" s="5" t="n"/>
      <c r="D425" s="3" t="n"/>
      <c r="E425" s="4" t="n"/>
      <c r="F425" s="4" t="n"/>
      <c r="G425" s="5" t="n"/>
      <c r="H425" s="5" t="n"/>
      <c r="I425" s="5" t="n"/>
      <c r="J425" s="6">
        <f>IF(G425="","",G425-C425-H425-I425)</f>
        <v/>
      </c>
      <c r="K425" s="7">
        <f>IF(E425="","",IF(F425="",TODAY(),F425)-E425)</f>
        <v/>
      </c>
      <c r="L425" s="8">
        <f>IF(F425&lt;&gt;"","Sold",IF(E425&lt;&gt;"","Online",IF(A425&lt;&gt;"","In stock","")))</f>
        <v/>
      </c>
    </row>
    <row r="426">
      <c r="A426" s="3" t="n"/>
      <c r="B426" s="4" t="n"/>
      <c r="C426" s="5" t="n"/>
      <c r="D426" s="3" t="n"/>
      <c r="E426" s="4" t="n"/>
      <c r="F426" s="4" t="n"/>
      <c r="G426" s="5" t="n"/>
      <c r="H426" s="5" t="n"/>
      <c r="I426" s="5" t="n"/>
      <c r="J426" s="6">
        <f>IF(G426="","",G426-C426-H426-I426)</f>
        <v/>
      </c>
      <c r="K426" s="7">
        <f>IF(E426="","",IF(F426="",TODAY(),F426)-E426)</f>
        <v/>
      </c>
      <c r="L426" s="8">
        <f>IF(F426&lt;&gt;"","Sold",IF(E426&lt;&gt;"","Online",IF(A426&lt;&gt;"","In stock","")))</f>
        <v/>
      </c>
    </row>
    <row r="427">
      <c r="A427" s="3" t="n"/>
      <c r="B427" s="4" t="n"/>
      <c r="C427" s="5" t="n"/>
      <c r="D427" s="3" t="n"/>
      <c r="E427" s="4" t="n"/>
      <c r="F427" s="4" t="n"/>
      <c r="G427" s="5" t="n"/>
      <c r="H427" s="5" t="n"/>
      <c r="I427" s="5" t="n"/>
      <c r="J427" s="6">
        <f>IF(G427="","",G427-C427-H427-I427)</f>
        <v/>
      </c>
      <c r="K427" s="7">
        <f>IF(E427="","",IF(F427="",TODAY(),F427)-E427)</f>
        <v/>
      </c>
      <c r="L427" s="8">
        <f>IF(F427&lt;&gt;"","Sold",IF(E427&lt;&gt;"","Online",IF(A427&lt;&gt;"","In stock","")))</f>
        <v/>
      </c>
    </row>
    <row r="428">
      <c r="A428" s="3" t="n"/>
      <c r="B428" s="4" t="n"/>
      <c r="C428" s="5" t="n"/>
      <c r="D428" s="3" t="n"/>
      <c r="E428" s="4" t="n"/>
      <c r="F428" s="4" t="n"/>
      <c r="G428" s="5" t="n"/>
      <c r="H428" s="5" t="n"/>
      <c r="I428" s="5" t="n"/>
      <c r="J428" s="6">
        <f>IF(G428="","",G428-C428-H428-I428)</f>
        <v/>
      </c>
      <c r="K428" s="7">
        <f>IF(E428="","",IF(F428="",TODAY(),F428)-E428)</f>
        <v/>
      </c>
      <c r="L428" s="8">
        <f>IF(F428&lt;&gt;"","Sold",IF(E428&lt;&gt;"","Online",IF(A428&lt;&gt;"","In stock","")))</f>
        <v/>
      </c>
    </row>
    <row r="429">
      <c r="A429" s="3" t="n"/>
      <c r="B429" s="4" t="n"/>
      <c r="C429" s="5" t="n"/>
      <c r="D429" s="3" t="n"/>
      <c r="E429" s="4" t="n"/>
      <c r="F429" s="4" t="n"/>
      <c r="G429" s="5" t="n"/>
      <c r="H429" s="5" t="n"/>
      <c r="I429" s="5" t="n"/>
      <c r="J429" s="6">
        <f>IF(G429="","",G429-C429-H429-I429)</f>
        <v/>
      </c>
      <c r="K429" s="7">
        <f>IF(E429="","",IF(F429="",TODAY(),F429)-E429)</f>
        <v/>
      </c>
      <c r="L429" s="8">
        <f>IF(F429&lt;&gt;"","Sold",IF(E429&lt;&gt;"","Online",IF(A429&lt;&gt;"","In stock","")))</f>
        <v/>
      </c>
    </row>
    <row r="430">
      <c r="A430" s="3" t="n"/>
      <c r="B430" s="4" t="n"/>
      <c r="C430" s="5" t="n"/>
      <c r="D430" s="3" t="n"/>
      <c r="E430" s="4" t="n"/>
      <c r="F430" s="4" t="n"/>
      <c r="G430" s="5" t="n"/>
      <c r="H430" s="5" t="n"/>
      <c r="I430" s="5" t="n"/>
      <c r="J430" s="6">
        <f>IF(G430="","",G430-C430-H430-I430)</f>
        <v/>
      </c>
      <c r="K430" s="7">
        <f>IF(E430="","",IF(F430="",TODAY(),F430)-E430)</f>
        <v/>
      </c>
      <c r="L430" s="8">
        <f>IF(F430&lt;&gt;"","Sold",IF(E430&lt;&gt;"","Online",IF(A430&lt;&gt;"","In stock","")))</f>
        <v/>
      </c>
    </row>
    <row r="431">
      <c r="A431" s="3" t="n"/>
      <c r="B431" s="4" t="n"/>
      <c r="C431" s="5" t="n"/>
      <c r="D431" s="3" t="n"/>
      <c r="E431" s="4" t="n"/>
      <c r="F431" s="4" t="n"/>
      <c r="G431" s="5" t="n"/>
      <c r="H431" s="5" t="n"/>
      <c r="I431" s="5" t="n"/>
      <c r="J431" s="6">
        <f>IF(G431="","",G431-C431-H431-I431)</f>
        <v/>
      </c>
      <c r="K431" s="7">
        <f>IF(E431="","",IF(F431="",TODAY(),F431)-E431)</f>
        <v/>
      </c>
      <c r="L431" s="8">
        <f>IF(F431&lt;&gt;"","Sold",IF(E431&lt;&gt;"","Online",IF(A431&lt;&gt;"","In stock","")))</f>
        <v/>
      </c>
    </row>
    <row r="432">
      <c r="A432" s="3" t="n"/>
      <c r="B432" s="4" t="n"/>
      <c r="C432" s="5" t="n"/>
      <c r="D432" s="3" t="n"/>
      <c r="E432" s="4" t="n"/>
      <c r="F432" s="4" t="n"/>
      <c r="G432" s="5" t="n"/>
      <c r="H432" s="5" t="n"/>
      <c r="I432" s="5" t="n"/>
      <c r="J432" s="6">
        <f>IF(G432="","",G432-C432-H432-I432)</f>
        <v/>
      </c>
      <c r="K432" s="7">
        <f>IF(E432="","",IF(F432="",TODAY(),F432)-E432)</f>
        <v/>
      </c>
      <c r="L432" s="8">
        <f>IF(F432&lt;&gt;"","Sold",IF(E432&lt;&gt;"","Online",IF(A432&lt;&gt;"","In stock","")))</f>
        <v/>
      </c>
    </row>
    <row r="433">
      <c r="A433" s="3" t="n"/>
      <c r="B433" s="4" t="n"/>
      <c r="C433" s="5" t="n"/>
      <c r="D433" s="3" t="n"/>
      <c r="E433" s="4" t="n"/>
      <c r="F433" s="4" t="n"/>
      <c r="G433" s="5" t="n"/>
      <c r="H433" s="5" t="n"/>
      <c r="I433" s="5" t="n"/>
      <c r="J433" s="6">
        <f>IF(G433="","",G433-C433-H433-I433)</f>
        <v/>
      </c>
      <c r="K433" s="7">
        <f>IF(E433="","",IF(F433="",TODAY(),F433)-E433)</f>
        <v/>
      </c>
      <c r="L433" s="8">
        <f>IF(F433&lt;&gt;"","Sold",IF(E433&lt;&gt;"","Online",IF(A433&lt;&gt;"","In stock","")))</f>
        <v/>
      </c>
    </row>
    <row r="434">
      <c r="A434" s="3" t="n"/>
      <c r="B434" s="4" t="n"/>
      <c r="C434" s="5" t="n"/>
      <c r="D434" s="3" t="n"/>
      <c r="E434" s="4" t="n"/>
      <c r="F434" s="4" t="n"/>
      <c r="G434" s="5" t="n"/>
      <c r="H434" s="5" t="n"/>
      <c r="I434" s="5" t="n"/>
      <c r="J434" s="6">
        <f>IF(G434="","",G434-C434-H434-I434)</f>
        <v/>
      </c>
      <c r="K434" s="7">
        <f>IF(E434="","",IF(F434="",TODAY(),F434)-E434)</f>
        <v/>
      </c>
      <c r="L434" s="8">
        <f>IF(F434&lt;&gt;"","Sold",IF(E434&lt;&gt;"","Online",IF(A434&lt;&gt;"","In stock","")))</f>
        <v/>
      </c>
    </row>
    <row r="435">
      <c r="A435" s="3" t="n"/>
      <c r="B435" s="4" t="n"/>
      <c r="C435" s="5" t="n"/>
      <c r="D435" s="3" t="n"/>
      <c r="E435" s="4" t="n"/>
      <c r="F435" s="4" t="n"/>
      <c r="G435" s="5" t="n"/>
      <c r="H435" s="5" t="n"/>
      <c r="I435" s="5" t="n"/>
      <c r="J435" s="6">
        <f>IF(G435="","",G435-C435-H435-I435)</f>
        <v/>
      </c>
      <c r="K435" s="7">
        <f>IF(E435="","",IF(F435="",TODAY(),F435)-E435)</f>
        <v/>
      </c>
      <c r="L435" s="8">
        <f>IF(F435&lt;&gt;"","Sold",IF(E435&lt;&gt;"","Online",IF(A435&lt;&gt;"","In stock","")))</f>
        <v/>
      </c>
    </row>
    <row r="436">
      <c r="A436" s="3" t="n"/>
      <c r="B436" s="4" t="n"/>
      <c r="C436" s="5" t="n"/>
      <c r="D436" s="3" t="n"/>
      <c r="E436" s="4" t="n"/>
      <c r="F436" s="4" t="n"/>
      <c r="G436" s="5" t="n"/>
      <c r="H436" s="5" t="n"/>
      <c r="I436" s="5" t="n"/>
      <c r="J436" s="6">
        <f>IF(G436="","",G436-C436-H436-I436)</f>
        <v/>
      </c>
      <c r="K436" s="7">
        <f>IF(E436="","",IF(F436="",TODAY(),F436)-E436)</f>
        <v/>
      </c>
      <c r="L436" s="8">
        <f>IF(F436&lt;&gt;"","Sold",IF(E436&lt;&gt;"","Online",IF(A436&lt;&gt;"","In stock","")))</f>
        <v/>
      </c>
    </row>
    <row r="437">
      <c r="A437" s="3" t="n"/>
      <c r="B437" s="4" t="n"/>
      <c r="C437" s="5" t="n"/>
      <c r="D437" s="3" t="n"/>
      <c r="E437" s="4" t="n"/>
      <c r="F437" s="4" t="n"/>
      <c r="G437" s="5" t="n"/>
      <c r="H437" s="5" t="n"/>
      <c r="I437" s="5" t="n"/>
      <c r="J437" s="6">
        <f>IF(G437="","",G437-C437-H437-I437)</f>
        <v/>
      </c>
      <c r="K437" s="7">
        <f>IF(E437="","",IF(F437="",TODAY(),F437)-E437)</f>
        <v/>
      </c>
      <c r="L437" s="8">
        <f>IF(F437&lt;&gt;"","Sold",IF(E437&lt;&gt;"","Online",IF(A437&lt;&gt;"","In stock","")))</f>
        <v/>
      </c>
    </row>
    <row r="438">
      <c r="A438" s="3" t="n"/>
      <c r="B438" s="4" t="n"/>
      <c r="C438" s="5" t="n"/>
      <c r="D438" s="3" t="n"/>
      <c r="E438" s="4" t="n"/>
      <c r="F438" s="4" t="n"/>
      <c r="G438" s="5" t="n"/>
      <c r="H438" s="5" t="n"/>
      <c r="I438" s="5" t="n"/>
      <c r="J438" s="6">
        <f>IF(G438="","",G438-C438-H438-I438)</f>
        <v/>
      </c>
      <c r="K438" s="7">
        <f>IF(E438="","",IF(F438="",TODAY(),F438)-E438)</f>
        <v/>
      </c>
      <c r="L438" s="8">
        <f>IF(F438&lt;&gt;"","Sold",IF(E438&lt;&gt;"","Online",IF(A438&lt;&gt;"","In stock","")))</f>
        <v/>
      </c>
    </row>
    <row r="439">
      <c r="A439" s="3" t="n"/>
      <c r="B439" s="4" t="n"/>
      <c r="C439" s="5" t="n"/>
      <c r="D439" s="3" t="n"/>
      <c r="E439" s="4" t="n"/>
      <c r="F439" s="4" t="n"/>
      <c r="G439" s="5" t="n"/>
      <c r="H439" s="5" t="n"/>
      <c r="I439" s="5" t="n"/>
      <c r="J439" s="6">
        <f>IF(G439="","",G439-C439-H439-I439)</f>
        <v/>
      </c>
      <c r="K439" s="7">
        <f>IF(E439="","",IF(F439="",TODAY(),F439)-E439)</f>
        <v/>
      </c>
      <c r="L439" s="8">
        <f>IF(F439&lt;&gt;"","Sold",IF(E439&lt;&gt;"","Online",IF(A439&lt;&gt;"","In stock","")))</f>
        <v/>
      </c>
    </row>
    <row r="440">
      <c r="A440" s="3" t="n"/>
      <c r="B440" s="4" t="n"/>
      <c r="C440" s="5" t="n"/>
      <c r="D440" s="3" t="n"/>
      <c r="E440" s="4" t="n"/>
      <c r="F440" s="4" t="n"/>
      <c r="G440" s="5" t="n"/>
      <c r="H440" s="5" t="n"/>
      <c r="I440" s="5" t="n"/>
      <c r="J440" s="6">
        <f>IF(G440="","",G440-C440-H440-I440)</f>
        <v/>
      </c>
      <c r="K440" s="7">
        <f>IF(E440="","",IF(F440="",TODAY(),F440)-E440)</f>
        <v/>
      </c>
      <c r="L440" s="8">
        <f>IF(F440&lt;&gt;"","Sold",IF(E440&lt;&gt;"","Online",IF(A440&lt;&gt;"","In stock","")))</f>
        <v/>
      </c>
    </row>
    <row r="441">
      <c r="A441" s="3" t="n"/>
      <c r="B441" s="4" t="n"/>
      <c r="C441" s="5" t="n"/>
      <c r="D441" s="3" t="n"/>
      <c r="E441" s="4" t="n"/>
      <c r="F441" s="4" t="n"/>
      <c r="G441" s="5" t="n"/>
      <c r="H441" s="5" t="n"/>
      <c r="I441" s="5" t="n"/>
      <c r="J441" s="6">
        <f>IF(G441="","",G441-C441-H441-I441)</f>
        <v/>
      </c>
      <c r="K441" s="7">
        <f>IF(E441="","",IF(F441="",TODAY(),F441)-E441)</f>
        <v/>
      </c>
      <c r="L441" s="8">
        <f>IF(F441&lt;&gt;"","Sold",IF(E441&lt;&gt;"","Online",IF(A441&lt;&gt;"","In stock","")))</f>
        <v/>
      </c>
    </row>
    <row r="442">
      <c r="A442" s="3" t="n"/>
      <c r="B442" s="4" t="n"/>
      <c r="C442" s="5" t="n"/>
      <c r="D442" s="3" t="n"/>
      <c r="E442" s="4" t="n"/>
      <c r="F442" s="4" t="n"/>
      <c r="G442" s="5" t="n"/>
      <c r="H442" s="5" t="n"/>
      <c r="I442" s="5" t="n"/>
      <c r="J442" s="6">
        <f>IF(G442="","",G442-C442-H442-I442)</f>
        <v/>
      </c>
      <c r="K442" s="7">
        <f>IF(E442="","",IF(F442="",TODAY(),F442)-E442)</f>
        <v/>
      </c>
      <c r="L442" s="8">
        <f>IF(F442&lt;&gt;"","Sold",IF(E442&lt;&gt;"","Online",IF(A442&lt;&gt;"","In stock","")))</f>
        <v/>
      </c>
    </row>
    <row r="443">
      <c r="A443" s="3" t="n"/>
      <c r="B443" s="4" t="n"/>
      <c r="C443" s="5" t="n"/>
      <c r="D443" s="3" t="n"/>
      <c r="E443" s="4" t="n"/>
      <c r="F443" s="4" t="n"/>
      <c r="G443" s="5" t="n"/>
      <c r="H443" s="5" t="n"/>
      <c r="I443" s="5" t="n"/>
      <c r="J443" s="6">
        <f>IF(G443="","",G443-C443-H443-I443)</f>
        <v/>
      </c>
      <c r="K443" s="7">
        <f>IF(E443="","",IF(F443="",TODAY(),F443)-E443)</f>
        <v/>
      </c>
      <c r="L443" s="8">
        <f>IF(F443&lt;&gt;"","Sold",IF(E443&lt;&gt;"","Online",IF(A443&lt;&gt;"","In stock","")))</f>
        <v/>
      </c>
    </row>
    <row r="444">
      <c r="A444" s="3" t="n"/>
      <c r="B444" s="4" t="n"/>
      <c r="C444" s="5" t="n"/>
      <c r="D444" s="3" t="n"/>
      <c r="E444" s="4" t="n"/>
      <c r="F444" s="4" t="n"/>
      <c r="G444" s="5" t="n"/>
      <c r="H444" s="5" t="n"/>
      <c r="I444" s="5" t="n"/>
      <c r="J444" s="6">
        <f>IF(G444="","",G444-C444-H444-I444)</f>
        <v/>
      </c>
      <c r="K444" s="7">
        <f>IF(E444="","",IF(F444="",TODAY(),F444)-E444)</f>
        <v/>
      </c>
      <c r="L444" s="8">
        <f>IF(F444&lt;&gt;"","Sold",IF(E444&lt;&gt;"","Online",IF(A444&lt;&gt;"","In stock","")))</f>
        <v/>
      </c>
    </row>
    <row r="445">
      <c r="A445" s="3" t="n"/>
      <c r="B445" s="4" t="n"/>
      <c r="C445" s="5" t="n"/>
      <c r="D445" s="3" t="n"/>
      <c r="E445" s="4" t="n"/>
      <c r="F445" s="4" t="n"/>
      <c r="G445" s="5" t="n"/>
      <c r="H445" s="5" t="n"/>
      <c r="I445" s="5" t="n"/>
      <c r="J445" s="6">
        <f>IF(G445="","",G445-C445-H445-I445)</f>
        <v/>
      </c>
      <c r="K445" s="7">
        <f>IF(E445="","",IF(F445="",TODAY(),F445)-E445)</f>
        <v/>
      </c>
      <c r="L445" s="8">
        <f>IF(F445&lt;&gt;"","Sold",IF(E445&lt;&gt;"","Online",IF(A445&lt;&gt;"","In stock","")))</f>
        <v/>
      </c>
    </row>
    <row r="446">
      <c r="A446" s="3" t="n"/>
      <c r="B446" s="4" t="n"/>
      <c r="C446" s="5" t="n"/>
      <c r="D446" s="3" t="n"/>
      <c r="E446" s="4" t="n"/>
      <c r="F446" s="4" t="n"/>
      <c r="G446" s="5" t="n"/>
      <c r="H446" s="5" t="n"/>
      <c r="I446" s="5" t="n"/>
      <c r="J446" s="6">
        <f>IF(G446="","",G446-C446-H446-I446)</f>
        <v/>
      </c>
      <c r="K446" s="7">
        <f>IF(E446="","",IF(F446="",TODAY(),F446)-E446)</f>
        <v/>
      </c>
      <c r="L446" s="8">
        <f>IF(F446&lt;&gt;"","Sold",IF(E446&lt;&gt;"","Online",IF(A446&lt;&gt;"","In stock","")))</f>
        <v/>
      </c>
    </row>
    <row r="447">
      <c r="A447" s="3" t="n"/>
      <c r="B447" s="4" t="n"/>
      <c r="C447" s="5" t="n"/>
      <c r="D447" s="3" t="n"/>
      <c r="E447" s="4" t="n"/>
      <c r="F447" s="4" t="n"/>
      <c r="G447" s="5" t="n"/>
      <c r="H447" s="5" t="n"/>
      <c r="I447" s="5" t="n"/>
      <c r="J447" s="6">
        <f>IF(G447="","",G447-C447-H447-I447)</f>
        <v/>
      </c>
      <c r="K447" s="7">
        <f>IF(E447="","",IF(F447="",TODAY(),F447)-E447)</f>
        <v/>
      </c>
      <c r="L447" s="8">
        <f>IF(F447&lt;&gt;"","Sold",IF(E447&lt;&gt;"","Online",IF(A447&lt;&gt;"","In stock","")))</f>
        <v/>
      </c>
    </row>
    <row r="448">
      <c r="A448" s="3" t="n"/>
      <c r="B448" s="4" t="n"/>
      <c r="C448" s="5" t="n"/>
      <c r="D448" s="3" t="n"/>
      <c r="E448" s="4" t="n"/>
      <c r="F448" s="4" t="n"/>
      <c r="G448" s="5" t="n"/>
      <c r="H448" s="5" t="n"/>
      <c r="I448" s="5" t="n"/>
      <c r="J448" s="6">
        <f>IF(G448="","",G448-C448-H448-I448)</f>
        <v/>
      </c>
      <c r="K448" s="7">
        <f>IF(E448="","",IF(F448="",TODAY(),F448)-E448)</f>
        <v/>
      </c>
      <c r="L448" s="8">
        <f>IF(F448&lt;&gt;"","Sold",IF(E448&lt;&gt;"","Online",IF(A448&lt;&gt;"","In stock","")))</f>
        <v/>
      </c>
    </row>
    <row r="449">
      <c r="A449" s="3" t="n"/>
      <c r="B449" s="4" t="n"/>
      <c r="C449" s="5" t="n"/>
      <c r="D449" s="3" t="n"/>
      <c r="E449" s="4" t="n"/>
      <c r="F449" s="4" t="n"/>
      <c r="G449" s="5" t="n"/>
      <c r="H449" s="5" t="n"/>
      <c r="I449" s="5" t="n"/>
      <c r="J449" s="6">
        <f>IF(G449="","",G449-C449-H449-I449)</f>
        <v/>
      </c>
      <c r="K449" s="7">
        <f>IF(E449="","",IF(F449="",TODAY(),F449)-E449)</f>
        <v/>
      </c>
      <c r="L449" s="8">
        <f>IF(F449&lt;&gt;"","Sold",IF(E449&lt;&gt;"","Online",IF(A449&lt;&gt;"","In stock","")))</f>
        <v/>
      </c>
    </row>
    <row r="450">
      <c r="A450" s="3" t="n"/>
      <c r="B450" s="4" t="n"/>
      <c r="C450" s="5" t="n"/>
      <c r="D450" s="3" t="n"/>
      <c r="E450" s="4" t="n"/>
      <c r="F450" s="4" t="n"/>
      <c r="G450" s="5" t="n"/>
      <c r="H450" s="5" t="n"/>
      <c r="I450" s="5" t="n"/>
      <c r="J450" s="6">
        <f>IF(G450="","",G450-C450-H450-I450)</f>
        <v/>
      </c>
      <c r="K450" s="7">
        <f>IF(E450="","",IF(F450="",TODAY(),F450)-E450)</f>
        <v/>
      </c>
      <c r="L450" s="8">
        <f>IF(F450&lt;&gt;"","Sold",IF(E450&lt;&gt;"","Online",IF(A450&lt;&gt;"","In stock","")))</f>
        <v/>
      </c>
    </row>
    <row r="451">
      <c r="A451" s="3" t="n"/>
      <c r="B451" s="4" t="n"/>
      <c r="C451" s="5" t="n"/>
      <c r="D451" s="3" t="n"/>
      <c r="E451" s="4" t="n"/>
      <c r="F451" s="4" t="n"/>
      <c r="G451" s="5" t="n"/>
      <c r="H451" s="5" t="n"/>
      <c r="I451" s="5" t="n"/>
      <c r="J451" s="6">
        <f>IF(G451="","",G451-C451-H451-I451)</f>
        <v/>
      </c>
      <c r="K451" s="7">
        <f>IF(E451="","",IF(F451="",TODAY(),F451)-E451)</f>
        <v/>
      </c>
      <c r="L451" s="8">
        <f>IF(F451&lt;&gt;"","Sold",IF(E451&lt;&gt;"","Online",IF(A451&lt;&gt;"","In stock","")))</f>
        <v/>
      </c>
    </row>
    <row r="452">
      <c r="A452" s="3" t="n"/>
      <c r="B452" s="4" t="n"/>
      <c r="C452" s="5" t="n"/>
      <c r="D452" s="3" t="n"/>
      <c r="E452" s="4" t="n"/>
      <c r="F452" s="4" t="n"/>
      <c r="G452" s="5" t="n"/>
      <c r="H452" s="5" t="n"/>
      <c r="I452" s="5" t="n"/>
      <c r="J452" s="6">
        <f>IF(G452="","",G452-C452-H452-I452)</f>
        <v/>
      </c>
      <c r="K452" s="7">
        <f>IF(E452="","",IF(F452="",TODAY(),F452)-E452)</f>
        <v/>
      </c>
      <c r="L452" s="8">
        <f>IF(F452&lt;&gt;"","Sold",IF(E452&lt;&gt;"","Online",IF(A452&lt;&gt;"","In stock","")))</f>
        <v/>
      </c>
    </row>
    <row r="453">
      <c r="A453" s="3" t="n"/>
      <c r="B453" s="4" t="n"/>
      <c r="C453" s="5" t="n"/>
      <c r="D453" s="3" t="n"/>
      <c r="E453" s="4" t="n"/>
      <c r="F453" s="4" t="n"/>
      <c r="G453" s="5" t="n"/>
      <c r="H453" s="5" t="n"/>
      <c r="I453" s="5" t="n"/>
      <c r="J453" s="6">
        <f>IF(G453="","",G453-C453-H453-I453)</f>
        <v/>
      </c>
      <c r="K453" s="7">
        <f>IF(E453="","",IF(F453="",TODAY(),F453)-E453)</f>
        <v/>
      </c>
      <c r="L453" s="8">
        <f>IF(F453&lt;&gt;"","Sold",IF(E453&lt;&gt;"","Online",IF(A453&lt;&gt;"","In stock","")))</f>
        <v/>
      </c>
    </row>
    <row r="454">
      <c r="A454" s="3" t="n"/>
      <c r="B454" s="4" t="n"/>
      <c r="C454" s="5" t="n"/>
      <c r="D454" s="3" t="n"/>
      <c r="E454" s="4" t="n"/>
      <c r="F454" s="4" t="n"/>
      <c r="G454" s="5" t="n"/>
      <c r="H454" s="5" t="n"/>
      <c r="I454" s="5" t="n"/>
      <c r="J454" s="6">
        <f>IF(G454="","",G454-C454-H454-I454)</f>
        <v/>
      </c>
      <c r="K454" s="7">
        <f>IF(E454="","",IF(F454="",TODAY(),F454)-E454)</f>
        <v/>
      </c>
      <c r="L454" s="8">
        <f>IF(F454&lt;&gt;"","Sold",IF(E454&lt;&gt;"","Online",IF(A454&lt;&gt;"","In stock","")))</f>
        <v/>
      </c>
    </row>
    <row r="455">
      <c r="A455" s="3" t="n"/>
      <c r="B455" s="4" t="n"/>
      <c r="C455" s="5" t="n"/>
      <c r="D455" s="3" t="n"/>
      <c r="E455" s="4" t="n"/>
      <c r="F455" s="4" t="n"/>
      <c r="G455" s="5" t="n"/>
      <c r="H455" s="5" t="n"/>
      <c r="I455" s="5" t="n"/>
      <c r="J455" s="6">
        <f>IF(G455="","",G455-C455-H455-I455)</f>
        <v/>
      </c>
      <c r="K455" s="7">
        <f>IF(E455="","",IF(F455="",TODAY(),F455)-E455)</f>
        <v/>
      </c>
      <c r="L455" s="8">
        <f>IF(F455&lt;&gt;"","Sold",IF(E455&lt;&gt;"","Online",IF(A455&lt;&gt;"","In stock","")))</f>
        <v/>
      </c>
    </row>
    <row r="456">
      <c r="A456" s="3" t="n"/>
      <c r="B456" s="4" t="n"/>
      <c r="C456" s="5" t="n"/>
      <c r="D456" s="3" t="n"/>
      <c r="E456" s="4" t="n"/>
      <c r="F456" s="4" t="n"/>
      <c r="G456" s="5" t="n"/>
      <c r="H456" s="5" t="n"/>
      <c r="I456" s="5" t="n"/>
      <c r="J456" s="6">
        <f>IF(G456="","",G456-C456-H456-I456)</f>
        <v/>
      </c>
      <c r="K456" s="7">
        <f>IF(E456="","",IF(F456="",TODAY(),F456)-E456)</f>
        <v/>
      </c>
      <c r="L456" s="8">
        <f>IF(F456&lt;&gt;"","Sold",IF(E456&lt;&gt;"","Online",IF(A456&lt;&gt;"","In stock","")))</f>
        <v/>
      </c>
    </row>
    <row r="457">
      <c r="A457" s="3" t="n"/>
      <c r="B457" s="4" t="n"/>
      <c r="C457" s="5" t="n"/>
      <c r="D457" s="3" t="n"/>
      <c r="E457" s="4" t="n"/>
      <c r="F457" s="4" t="n"/>
      <c r="G457" s="5" t="n"/>
      <c r="H457" s="5" t="n"/>
      <c r="I457" s="5" t="n"/>
      <c r="J457" s="6">
        <f>IF(G457="","",G457-C457-H457-I457)</f>
        <v/>
      </c>
      <c r="K457" s="7">
        <f>IF(E457="","",IF(F457="",TODAY(),F457)-E457)</f>
        <v/>
      </c>
      <c r="L457" s="8">
        <f>IF(F457&lt;&gt;"","Sold",IF(E457&lt;&gt;"","Online",IF(A457&lt;&gt;"","In stock","")))</f>
        <v/>
      </c>
    </row>
    <row r="458">
      <c r="A458" s="3" t="n"/>
      <c r="B458" s="4" t="n"/>
      <c r="C458" s="5" t="n"/>
      <c r="D458" s="3" t="n"/>
      <c r="E458" s="4" t="n"/>
      <c r="F458" s="4" t="n"/>
      <c r="G458" s="5" t="n"/>
      <c r="H458" s="5" t="n"/>
      <c r="I458" s="5" t="n"/>
      <c r="J458" s="6">
        <f>IF(G458="","",G458-C458-H458-I458)</f>
        <v/>
      </c>
      <c r="K458" s="7">
        <f>IF(E458="","",IF(F458="",TODAY(),F458)-E458)</f>
        <v/>
      </c>
      <c r="L458" s="8">
        <f>IF(F458&lt;&gt;"","Sold",IF(E458&lt;&gt;"","Online",IF(A458&lt;&gt;"","In stock","")))</f>
        <v/>
      </c>
    </row>
    <row r="459">
      <c r="A459" s="3" t="n"/>
      <c r="B459" s="4" t="n"/>
      <c r="C459" s="5" t="n"/>
      <c r="D459" s="3" t="n"/>
      <c r="E459" s="4" t="n"/>
      <c r="F459" s="4" t="n"/>
      <c r="G459" s="5" t="n"/>
      <c r="H459" s="5" t="n"/>
      <c r="I459" s="5" t="n"/>
      <c r="J459" s="6">
        <f>IF(G459="","",G459-C459-H459-I459)</f>
        <v/>
      </c>
      <c r="K459" s="7">
        <f>IF(E459="","",IF(F459="",TODAY(),F459)-E459)</f>
        <v/>
      </c>
      <c r="L459" s="8">
        <f>IF(F459&lt;&gt;"","Sold",IF(E459&lt;&gt;"","Online",IF(A459&lt;&gt;"","In stock","")))</f>
        <v/>
      </c>
    </row>
    <row r="460">
      <c r="A460" s="3" t="n"/>
      <c r="B460" s="4" t="n"/>
      <c r="C460" s="5" t="n"/>
      <c r="D460" s="3" t="n"/>
      <c r="E460" s="4" t="n"/>
      <c r="F460" s="4" t="n"/>
      <c r="G460" s="5" t="n"/>
      <c r="H460" s="5" t="n"/>
      <c r="I460" s="5" t="n"/>
      <c r="J460" s="6">
        <f>IF(G460="","",G460-C460-H460-I460)</f>
        <v/>
      </c>
      <c r="K460" s="7">
        <f>IF(E460="","",IF(F460="",TODAY(),F460)-E460)</f>
        <v/>
      </c>
      <c r="L460" s="8">
        <f>IF(F460&lt;&gt;"","Sold",IF(E460&lt;&gt;"","Online",IF(A460&lt;&gt;"","In stock","")))</f>
        <v/>
      </c>
    </row>
    <row r="461">
      <c r="A461" s="3" t="n"/>
      <c r="B461" s="4" t="n"/>
      <c r="C461" s="5" t="n"/>
      <c r="D461" s="3" t="n"/>
      <c r="E461" s="4" t="n"/>
      <c r="F461" s="4" t="n"/>
      <c r="G461" s="5" t="n"/>
      <c r="H461" s="5" t="n"/>
      <c r="I461" s="5" t="n"/>
      <c r="J461" s="6">
        <f>IF(G461="","",G461-C461-H461-I461)</f>
        <v/>
      </c>
      <c r="K461" s="7">
        <f>IF(E461="","",IF(F461="",TODAY(),F461)-E461)</f>
        <v/>
      </c>
      <c r="L461" s="8">
        <f>IF(F461&lt;&gt;"","Sold",IF(E461&lt;&gt;"","Online",IF(A461&lt;&gt;"","In stock","")))</f>
        <v/>
      </c>
    </row>
    <row r="462">
      <c r="A462" s="3" t="n"/>
      <c r="B462" s="4" t="n"/>
      <c r="C462" s="5" t="n"/>
      <c r="D462" s="3" t="n"/>
      <c r="E462" s="4" t="n"/>
      <c r="F462" s="4" t="n"/>
      <c r="G462" s="5" t="n"/>
      <c r="H462" s="5" t="n"/>
      <c r="I462" s="5" t="n"/>
      <c r="J462" s="6">
        <f>IF(G462="","",G462-C462-H462-I462)</f>
        <v/>
      </c>
      <c r="K462" s="7">
        <f>IF(E462="","",IF(F462="",TODAY(),F462)-E462)</f>
        <v/>
      </c>
      <c r="L462" s="8">
        <f>IF(F462&lt;&gt;"","Sold",IF(E462&lt;&gt;"","Online",IF(A462&lt;&gt;"","In stock","")))</f>
        <v/>
      </c>
    </row>
    <row r="463">
      <c r="A463" s="3" t="n"/>
      <c r="B463" s="4" t="n"/>
      <c r="C463" s="5" t="n"/>
      <c r="D463" s="3" t="n"/>
      <c r="E463" s="4" t="n"/>
      <c r="F463" s="4" t="n"/>
      <c r="G463" s="5" t="n"/>
      <c r="H463" s="5" t="n"/>
      <c r="I463" s="5" t="n"/>
      <c r="J463" s="6">
        <f>IF(G463="","",G463-C463-H463-I463)</f>
        <v/>
      </c>
      <c r="K463" s="7">
        <f>IF(E463="","",IF(F463="",TODAY(),F463)-E463)</f>
        <v/>
      </c>
      <c r="L463" s="8">
        <f>IF(F463&lt;&gt;"","Sold",IF(E463&lt;&gt;"","Online",IF(A463&lt;&gt;"","In stock","")))</f>
        <v/>
      </c>
    </row>
    <row r="464">
      <c r="A464" s="3" t="n"/>
      <c r="B464" s="4" t="n"/>
      <c r="C464" s="5" t="n"/>
      <c r="D464" s="3" t="n"/>
      <c r="E464" s="4" t="n"/>
      <c r="F464" s="4" t="n"/>
      <c r="G464" s="5" t="n"/>
      <c r="H464" s="5" t="n"/>
      <c r="I464" s="5" t="n"/>
      <c r="J464" s="6">
        <f>IF(G464="","",G464-C464-H464-I464)</f>
        <v/>
      </c>
      <c r="K464" s="7">
        <f>IF(E464="","",IF(F464="",TODAY(),F464)-E464)</f>
        <v/>
      </c>
      <c r="L464" s="8">
        <f>IF(F464&lt;&gt;"","Sold",IF(E464&lt;&gt;"","Online",IF(A464&lt;&gt;"","In stock","")))</f>
        <v/>
      </c>
    </row>
    <row r="465">
      <c r="A465" s="3" t="n"/>
      <c r="B465" s="4" t="n"/>
      <c r="C465" s="5" t="n"/>
      <c r="D465" s="3" t="n"/>
      <c r="E465" s="4" t="n"/>
      <c r="F465" s="4" t="n"/>
      <c r="G465" s="5" t="n"/>
      <c r="H465" s="5" t="n"/>
      <c r="I465" s="5" t="n"/>
      <c r="J465" s="6">
        <f>IF(G465="","",G465-C465-H465-I465)</f>
        <v/>
      </c>
      <c r="K465" s="7">
        <f>IF(E465="","",IF(F465="",TODAY(),F465)-E465)</f>
        <v/>
      </c>
      <c r="L465" s="8">
        <f>IF(F465&lt;&gt;"","Sold",IF(E465&lt;&gt;"","Online",IF(A465&lt;&gt;"","In stock","")))</f>
        <v/>
      </c>
    </row>
    <row r="466">
      <c r="A466" s="3" t="n"/>
      <c r="B466" s="4" t="n"/>
      <c r="C466" s="5" t="n"/>
      <c r="D466" s="3" t="n"/>
      <c r="E466" s="4" t="n"/>
      <c r="F466" s="4" t="n"/>
      <c r="G466" s="5" t="n"/>
      <c r="H466" s="5" t="n"/>
      <c r="I466" s="5" t="n"/>
      <c r="J466" s="6">
        <f>IF(G466="","",G466-C466-H466-I466)</f>
        <v/>
      </c>
      <c r="K466" s="7">
        <f>IF(E466="","",IF(F466="",TODAY(),F466)-E466)</f>
        <v/>
      </c>
      <c r="L466" s="8">
        <f>IF(F466&lt;&gt;"","Sold",IF(E466&lt;&gt;"","Online",IF(A466&lt;&gt;"","In stock","")))</f>
        <v/>
      </c>
    </row>
    <row r="467">
      <c r="A467" s="3" t="n"/>
      <c r="B467" s="4" t="n"/>
      <c r="C467" s="5" t="n"/>
      <c r="D467" s="3" t="n"/>
      <c r="E467" s="4" t="n"/>
      <c r="F467" s="4" t="n"/>
      <c r="G467" s="5" t="n"/>
      <c r="H467" s="5" t="n"/>
      <c r="I467" s="5" t="n"/>
      <c r="J467" s="6">
        <f>IF(G467="","",G467-C467-H467-I467)</f>
        <v/>
      </c>
      <c r="K467" s="7">
        <f>IF(E467="","",IF(F467="",TODAY(),F467)-E467)</f>
        <v/>
      </c>
      <c r="L467" s="8">
        <f>IF(F467&lt;&gt;"","Sold",IF(E467&lt;&gt;"","Online",IF(A467&lt;&gt;"","In stock","")))</f>
        <v/>
      </c>
    </row>
    <row r="468">
      <c r="A468" s="3" t="n"/>
      <c r="B468" s="4" t="n"/>
      <c r="C468" s="5" t="n"/>
      <c r="D468" s="3" t="n"/>
      <c r="E468" s="4" t="n"/>
      <c r="F468" s="4" t="n"/>
      <c r="G468" s="5" t="n"/>
      <c r="H468" s="5" t="n"/>
      <c r="I468" s="5" t="n"/>
      <c r="J468" s="6">
        <f>IF(G468="","",G468-C468-H468-I468)</f>
        <v/>
      </c>
      <c r="K468" s="7">
        <f>IF(E468="","",IF(F468="",TODAY(),F468)-E468)</f>
        <v/>
      </c>
      <c r="L468" s="8">
        <f>IF(F468&lt;&gt;"","Sold",IF(E468&lt;&gt;"","Online",IF(A468&lt;&gt;"","In stock","")))</f>
        <v/>
      </c>
    </row>
    <row r="469">
      <c r="A469" s="3" t="n"/>
      <c r="B469" s="4" t="n"/>
      <c r="C469" s="5" t="n"/>
      <c r="D469" s="3" t="n"/>
      <c r="E469" s="4" t="n"/>
      <c r="F469" s="4" t="n"/>
      <c r="G469" s="5" t="n"/>
      <c r="H469" s="5" t="n"/>
      <c r="I469" s="5" t="n"/>
      <c r="J469" s="6">
        <f>IF(G469="","",G469-C469-H469-I469)</f>
        <v/>
      </c>
      <c r="K469" s="7">
        <f>IF(E469="","",IF(F469="",TODAY(),F469)-E469)</f>
        <v/>
      </c>
      <c r="L469" s="8">
        <f>IF(F469&lt;&gt;"","Sold",IF(E469&lt;&gt;"","Online",IF(A469&lt;&gt;"","In stock","")))</f>
        <v/>
      </c>
    </row>
    <row r="470">
      <c r="A470" s="3" t="n"/>
      <c r="B470" s="4" t="n"/>
      <c r="C470" s="5" t="n"/>
      <c r="D470" s="3" t="n"/>
      <c r="E470" s="4" t="n"/>
      <c r="F470" s="4" t="n"/>
      <c r="G470" s="5" t="n"/>
      <c r="H470" s="5" t="n"/>
      <c r="I470" s="5" t="n"/>
      <c r="J470" s="6">
        <f>IF(G470="","",G470-C470-H470-I470)</f>
        <v/>
      </c>
      <c r="K470" s="7">
        <f>IF(E470="","",IF(F470="",TODAY(),F470)-E470)</f>
        <v/>
      </c>
      <c r="L470" s="8">
        <f>IF(F470&lt;&gt;"","Sold",IF(E470&lt;&gt;"","Online",IF(A470&lt;&gt;"","In stock","")))</f>
        <v/>
      </c>
    </row>
    <row r="471">
      <c r="A471" s="3" t="n"/>
      <c r="B471" s="4" t="n"/>
      <c r="C471" s="5" t="n"/>
      <c r="D471" s="3" t="n"/>
      <c r="E471" s="4" t="n"/>
      <c r="F471" s="4" t="n"/>
      <c r="G471" s="5" t="n"/>
      <c r="H471" s="5" t="n"/>
      <c r="I471" s="5" t="n"/>
      <c r="J471" s="6">
        <f>IF(G471="","",G471-C471-H471-I471)</f>
        <v/>
      </c>
      <c r="K471" s="7">
        <f>IF(E471="","",IF(F471="",TODAY(),F471)-E471)</f>
        <v/>
      </c>
      <c r="L471" s="8">
        <f>IF(F471&lt;&gt;"","Sold",IF(E471&lt;&gt;"","Online",IF(A471&lt;&gt;"","In stock","")))</f>
        <v/>
      </c>
    </row>
    <row r="472">
      <c r="A472" s="3" t="n"/>
      <c r="B472" s="4" t="n"/>
      <c r="C472" s="5" t="n"/>
      <c r="D472" s="3" t="n"/>
      <c r="E472" s="4" t="n"/>
      <c r="F472" s="4" t="n"/>
      <c r="G472" s="5" t="n"/>
      <c r="H472" s="5" t="n"/>
      <c r="I472" s="5" t="n"/>
      <c r="J472" s="6">
        <f>IF(G472="","",G472-C472-H472-I472)</f>
        <v/>
      </c>
      <c r="K472" s="7">
        <f>IF(E472="","",IF(F472="",TODAY(),F472)-E472)</f>
        <v/>
      </c>
      <c r="L472" s="8">
        <f>IF(F472&lt;&gt;"","Sold",IF(E472&lt;&gt;"","Online",IF(A472&lt;&gt;"","In stock","")))</f>
        <v/>
      </c>
    </row>
    <row r="473">
      <c r="A473" s="3" t="n"/>
      <c r="B473" s="4" t="n"/>
      <c r="C473" s="5" t="n"/>
      <c r="D473" s="3" t="n"/>
      <c r="E473" s="4" t="n"/>
      <c r="F473" s="4" t="n"/>
      <c r="G473" s="5" t="n"/>
      <c r="H473" s="5" t="n"/>
      <c r="I473" s="5" t="n"/>
      <c r="J473" s="6">
        <f>IF(G473="","",G473-C473-H473-I473)</f>
        <v/>
      </c>
      <c r="K473" s="7">
        <f>IF(E473="","",IF(F473="",TODAY(),F473)-E473)</f>
        <v/>
      </c>
      <c r="L473" s="8">
        <f>IF(F473&lt;&gt;"","Sold",IF(E473&lt;&gt;"","Online",IF(A473&lt;&gt;"","In stock","")))</f>
        <v/>
      </c>
    </row>
    <row r="474">
      <c r="A474" s="3" t="n"/>
      <c r="B474" s="4" t="n"/>
      <c r="C474" s="5" t="n"/>
      <c r="D474" s="3" t="n"/>
      <c r="E474" s="4" t="n"/>
      <c r="F474" s="4" t="n"/>
      <c r="G474" s="5" t="n"/>
      <c r="H474" s="5" t="n"/>
      <c r="I474" s="5" t="n"/>
      <c r="J474" s="6">
        <f>IF(G474="","",G474-C474-H474-I474)</f>
        <v/>
      </c>
      <c r="K474" s="7">
        <f>IF(E474="","",IF(F474="",TODAY(),F474)-E474)</f>
        <v/>
      </c>
      <c r="L474" s="8">
        <f>IF(F474&lt;&gt;"","Sold",IF(E474&lt;&gt;"","Online",IF(A474&lt;&gt;"","In stock","")))</f>
        <v/>
      </c>
    </row>
    <row r="475">
      <c r="A475" s="3" t="n"/>
      <c r="B475" s="4" t="n"/>
      <c r="C475" s="5" t="n"/>
      <c r="D475" s="3" t="n"/>
      <c r="E475" s="4" t="n"/>
      <c r="F475" s="4" t="n"/>
      <c r="G475" s="5" t="n"/>
      <c r="H475" s="5" t="n"/>
      <c r="I475" s="5" t="n"/>
      <c r="J475" s="6">
        <f>IF(G475="","",G475-C475-H475-I475)</f>
        <v/>
      </c>
      <c r="K475" s="7">
        <f>IF(E475="","",IF(F475="",TODAY(),F475)-E475)</f>
        <v/>
      </c>
      <c r="L475" s="8">
        <f>IF(F475&lt;&gt;"","Sold",IF(E475&lt;&gt;"","Online",IF(A475&lt;&gt;"","In stock","")))</f>
        <v/>
      </c>
    </row>
    <row r="476">
      <c r="A476" s="3" t="n"/>
      <c r="B476" s="4" t="n"/>
      <c r="C476" s="5" t="n"/>
      <c r="D476" s="3" t="n"/>
      <c r="E476" s="4" t="n"/>
      <c r="F476" s="4" t="n"/>
      <c r="G476" s="5" t="n"/>
      <c r="H476" s="5" t="n"/>
      <c r="I476" s="5" t="n"/>
      <c r="J476" s="6">
        <f>IF(G476="","",G476-C476-H476-I476)</f>
        <v/>
      </c>
      <c r="K476" s="7">
        <f>IF(E476="","",IF(F476="",TODAY(),F476)-E476)</f>
        <v/>
      </c>
      <c r="L476" s="8">
        <f>IF(F476&lt;&gt;"","Sold",IF(E476&lt;&gt;"","Online",IF(A476&lt;&gt;"","In stock","")))</f>
        <v/>
      </c>
    </row>
    <row r="477">
      <c r="A477" s="3" t="n"/>
      <c r="B477" s="4" t="n"/>
      <c r="C477" s="5" t="n"/>
      <c r="D477" s="3" t="n"/>
      <c r="E477" s="4" t="n"/>
      <c r="F477" s="4" t="n"/>
      <c r="G477" s="5" t="n"/>
      <c r="H477" s="5" t="n"/>
      <c r="I477" s="5" t="n"/>
      <c r="J477" s="6">
        <f>IF(G477="","",G477-C477-H477-I477)</f>
        <v/>
      </c>
      <c r="K477" s="7">
        <f>IF(E477="","",IF(F477="",TODAY(),F477)-E477)</f>
        <v/>
      </c>
      <c r="L477" s="8">
        <f>IF(F477&lt;&gt;"","Sold",IF(E477&lt;&gt;"","Online",IF(A477&lt;&gt;"","In stock","")))</f>
        <v/>
      </c>
    </row>
    <row r="478">
      <c r="A478" s="3" t="n"/>
      <c r="B478" s="4" t="n"/>
      <c r="C478" s="5" t="n"/>
      <c r="D478" s="3" t="n"/>
      <c r="E478" s="4" t="n"/>
      <c r="F478" s="4" t="n"/>
      <c r="G478" s="5" t="n"/>
      <c r="H478" s="5" t="n"/>
      <c r="I478" s="5" t="n"/>
      <c r="J478" s="6">
        <f>IF(G478="","",G478-C478-H478-I478)</f>
        <v/>
      </c>
      <c r="K478" s="7">
        <f>IF(E478="","",IF(F478="",TODAY(),F478)-E478)</f>
        <v/>
      </c>
      <c r="L478" s="8">
        <f>IF(F478&lt;&gt;"","Sold",IF(E478&lt;&gt;"","Online",IF(A478&lt;&gt;"","In stock","")))</f>
        <v/>
      </c>
    </row>
    <row r="479">
      <c r="A479" s="3" t="n"/>
      <c r="B479" s="4" t="n"/>
      <c r="C479" s="5" t="n"/>
      <c r="D479" s="3" t="n"/>
      <c r="E479" s="4" t="n"/>
      <c r="F479" s="4" t="n"/>
      <c r="G479" s="5" t="n"/>
      <c r="H479" s="5" t="n"/>
      <c r="I479" s="5" t="n"/>
      <c r="J479" s="6">
        <f>IF(G479="","",G479-C479-H479-I479)</f>
        <v/>
      </c>
      <c r="K479" s="7">
        <f>IF(E479="","",IF(F479="",TODAY(),F479)-E479)</f>
        <v/>
      </c>
      <c r="L479" s="8">
        <f>IF(F479&lt;&gt;"","Sold",IF(E479&lt;&gt;"","Online",IF(A479&lt;&gt;"","In stock","")))</f>
        <v/>
      </c>
    </row>
    <row r="480">
      <c r="A480" s="3" t="n"/>
      <c r="B480" s="4" t="n"/>
      <c r="C480" s="5" t="n"/>
      <c r="D480" s="3" t="n"/>
      <c r="E480" s="4" t="n"/>
      <c r="F480" s="4" t="n"/>
      <c r="G480" s="5" t="n"/>
      <c r="H480" s="5" t="n"/>
      <c r="I480" s="5" t="n"/>
      <c r="J480" s="6">
        <f>IF(G480="","",G480-C480-H480-I480)</f>
        <v/>
      </c>
      <c r="K480" s="7">
        <f>IF(E480="","",IF(F480="",TODAY(),F480)-E480)</f>
        <v/>
      </c>
      <c r="L480" s="8">
        <f>IF(F480&lt;&gt;"","Sold",IF(E480&lt;&gt;"","Online",IF(A480&lt;&gt;"","In stock","")))</f>
        <v/>
      </c>
    </row>
    <row r="481">
      <c r="A481" s="3" t="n"/>
      <c r="B481" s="4" t="n"/>
      <c r="C481" s="5" t="n"/>
      <c r="D481" s="3" t="n"/>
      <c r="E481" s="4" t="n"/>
      <c r="F481" s="4" t="n"/>
      <c r="G481" s="5" t="n"/>
      <c r="H481" s="5" t="n"/>
      <c r="I481" s="5" t="n"/>
      <c r="J481" s="6">
        <f>IF(G481="","",G481-C481-H481-I481)</f>
        <v/>
      </c>
      <c r="K481" s="7">
        <f>IF(E481="","",IF(F481="",TODAY(),F481)-E481)</f>
        <v/>
      </c>
      <c r="L481" s="8">
        <f>IF(F481&lt;&gt;"","Sold",IF(E481&lt;&gt;"","Online",IF(A481&lt;&gt;"","In stock","")))</f>
        <v/>
      </c>
    </row>
    <row r="482">
      <c r="A482" s="3" t="n"/>
      <c r="B482" s="4" t="n"/>
      <c r="C482" s="5" t="n"/>
      <c r="D482" s="3" t="n"/>
      <c r="E482" s="4" t="n"/>
      <c r="F482" s="4" t="n"/>
      <c r="G482" s="5" t="n"/>
      <c r="H482" s="5" t="n"/>
      <c r="I482" s="5" t="n"/>
      <c r="J482" s="6">
        <f>IF(G482="","",G482-C482-H482-I482)</f>
        <v/>
      </c>
      <c r="K482" s="7">
        <f>IF(E482="","",IF(F482="",TODAY(),F482)-E482)</f>
        <v/>
      </c>
      <c r="L482" s="8">
        <f>IF(F482&lt;&gt;"","Sold",IF(E482&lt;&gt;"","Online",IF(A482&lt;&gt;"","In stock","")))</f>
        <v/>
      </c>
    </row>
    <row r="483">
      <c r="A483" s="3" t="n"/>
      <c r="B483" s="4" t="n"/>
      <c r="C483" s="5" t="n"/>
      <c r="D483" s="3" t="n"/>
      <c r="E483" s="4" t="n"/>
      <c r="F483" s="4" t="n"/>
      <c r="G483" s="5" t="n"/>
      <c r="H483" s="5" t="n"/>
      <c r="I483" s="5" t="n"/>
      <c r="J483" s="6">
        <f>IF(G483="","",G483-C483-H483-I483)</f>
        <v/>
      </c>
      <c r="K483" s="7">
        <f>IF(E483="","",IF(F483="",TODAY(),F483)-E483)</f>
        <v/>
      </c>
      <c r="L483" s="8">
        <f>IF(F483&lt;&gt;"","Sold",IF(E483&lt;&gt;"","Online",IF(A483&lt;&gt;"","In stock","")))</f>
        <v/>
      </c>
    </row>
    <row r="484">
      <c r="A484" s="3" t="n"/>
      <c r="B484" s="4" t="n"/>
      <c r="C484" s="5" t="n"/>
      <c r="D484" s="3" t="n"/>
      <c r="E484" s="4" t="n"/>
      <c r="F484" s="4" t="n"/>
      <c r="G484" s="5" t="n"/>
      <c r="H484" s="5" t="n"/>
      <c r="I484" s="5" t="n"/>
      <c r="J484" s="6">
        <f>IF(G484="","",G484-C484-H484-I484)</f>
        <v/>
      </c>
      <c r="K484" s="7">
        <f>IF(E484="","",IF(F484="",TODAY(),F484)-E484)</f>
        <v/>
      </c>
      <c r="L484" s="8">
        <f>IF(F484&lt;&gt;"","Sold",IF(E484&lt;&gt;"","Online",IF(A484&lt;&gt;"","In stock","")))</f>
        <v/>
      </c>
    </row>
    <row r="485">
      <c r="A485" s="3" t="n"/>
      <c r="B485" s="4" t="n"/>
      <c r="C485" s="5" t="n"/>
      <c r="D485" s="3" t="n"/>
      <c r="E485" s="4" t="n"/>
      <c r="F485" s="4" t="n"/>
      <c r="G485" s="5" t="n"/>
      <c r="H485" s="5" t="n"/>
      <c r="I485" s="5" t="n"/>
      <c r="J485" s="6">
        <f>IF(G485="","",G485-C485-H485-I485)</f>
        <v/>
      </c>
      <c r="K485" s="7">
        <f>IF(E485="","",IF(F485="",TODAY(),F485)-E485)</f>
        <v/>
      </c>
      <c r="L485" s="8">
        <f>IF(F485&lt;&gt;"","Sold",IF(E485&lt;&gt;"","Online",IF(A485&lt;&gt;"","In stock","")))</f>
        <v/>
      </c>
    </row>
    <row r="486">
      <c r="A486" s="3" t="n"/>
      <c r="B486" s="4" t="n"/>
      <c r="C486" s="5" t="n"/>
      <c r="D486" s="3" t="n"/>
      <c r="E486" s="4" t="n"/>
      <c r="F486" s="4" t="n"/>
      <c r="G486" s="5" t="n"/>
      <c r="H486" s="5" t="n"/>
      <c r="I486" s="5" t="n"/>
      <c r="J486" s="6">
        <f>IF(G486="","",G486-C486-H486-I486)</f>
        <v/>
      </c>
      <c r="K486" s="7">
        <f>IF(E486="","",IF(F486="",TODAY(),F486)-E486)</f>
        <v/>
      </c>
      <c r="L486" s="8">
        <f>IF(F486&lt;&gt;"","Sold",IF(E486&lt;&gt;"","Online",IF(A486&lt;&gt;"","In stock","")))</f>
        <v/>
      </c>
    </row>
    <row r="487">
      <c r="A487" s="3" t="n"/>
      <c r="B487" s="4" t="n"/>
      <c r="C487" s="5" t="n"/>
      <c r="D487" s="3" t="n"/>
      <c r="E487" s="4" t="n"/>
      <c r="F487" s="4" t="n"/>
      <c r="G487" s="5" t="n"/>
      <c r="H487" s="5" t="n"/>
      <c r="I487" s="5" t="n"/>
      <c r="J487" s="6">
        <f>IF(G487="","",G487-C487-H487-I487)</f>
        <v/>
      </c>
      <c r="K487" s="7">
        <f>IF(E487="","",IF(F487="",TODAY(),F487)-E487)</f>
        <v/>
      </c>
      <c r="L487" s="8">
        <f>IF(F487&lt;&gt;"","Sold",IF(E487&lt;&gt;"","Online",IF(A487&lt;&gt;"","In stock","")))</f>
        <v/>
      </c>
    </row>
    <row r="488">
      <c r="A488" s="3" t="n"/>
      <c r="B488" s="4" t="n"/>
      <c r="C488" s="5" t="n"/>
      <c r="D488" s="3" t="n"/>
      <c r="E488" s="4" t="n"/>
      <c r="F488" s="4" t="n"/>
      <c r="G488" s="5" t="n"/>
      <c r="H488" s="5" t="n"/>
      <c r="I488" s="5" t="n"/>
      <c r="J488" s="6">
        <f>IF(G488="","",G488-C488-H488-I488)</f>
        <v/>
      </c>
      <c r="K488" s="7">
        <f>IF(E488="","",IF(F488="",TODAY(),F488)-E488)</f>
        <v/>
      </c>
      <c r="L488" s="8">
        <f>IF(F488&lt;&gt;"","Sold",IF(E488&lt;&gt;"","Online",IF(A488&lt;&gt;"","In stock","")))</f>
        <v/>
      </c>
    </row>
    <row r="489">
      <c r="A489" s="3" t="n"/>
      <c r="B489" s="4" t="n"/>
      <c r="C489" s="5" t="n"/>
      <c r="D489" s="3" t="n"/>
      <c r="E489" s="4" t="n"/>
      <c r="F489" s="4" t="n"/>
      <c r="G489" s="5" t="n"/>
      <c r="H489" s="5" t="n"/>
      <c r="I489" s="5" t="n"/>
      <c r="J489" s="6">
        <f>IF(G489="","",G489-C489-H489-I489)</f>
        <v/>
      </c>
      <c r="K489" s="7">
        <f>IF(E489="","",IF(F489="",TODAY(),F489)-E489)</f>
        <v/>
      </c>
      <c r="L489" s="8">
        <f>IF(F489&lt;&gt;"","Sold",IF(E489&lt;&gt;"","Online",IF(A489&lt;&gt;"","In stock","")))</f>
        <v/>
      </c>
    </row>
    <row r="490">
      <c r="A490" s="3" t="n"/>
      <c r="B490" s="4" t="n"/>
      <c r="C490" s="5" t="n"/>
      <c r="D490" s="3" t="n"/>
      <c r="E490" s="4" t="n"/>
      <c r="F490" s="4" t="n"/>
      <c r="G490" s="5" t="n"/>
      <c r="H490" s="5" t="n"/>
      <c r="I490" s="5" t="n"/>
      <c r="J490" s="6">
        <f>IF(G490="","",G490-C490-H490-I490)</f>
        <v/>
      </c>
      <c r="K490" s="7">
        <f>IF(E490="","",IF(F490="",TODAY(),F490)-E490)</f>
        <v/>
      </c>
      <c r="L490" s="8">
        <f>IF(F490&lt;&gt;"","Sold",IF(E490&lt;&gt;"","Online",IF(A490&lt;&gt;"","In stock","")))</f>
        <v/>
      </c>
    </row>
    <row r="491">
      <c r="A491" s="3" t="n"/>
      <c r="B491" s="4" t="n"/>
      <c r="C491" s="5" t="n"/>
      <c r="D491" s="3" t="n"/>
      <c r="E491" s="4" t="n"/>
      <c r="F491" s="4" t="n"/>
      <c r="G491" s="5" t="n"/>
      <c r="H491" s="5" t="n"/>
      <c r="I491" s="5" t="n"/>
      <c r="J491" s="6">
        <f>IF(G491="","",G491-C491-H491-I491)</f>
        <v/>
      </c>
      <c r="K491" s="7">
        <f>IF(E491="","",IF(F491="",TODAY(),F491)-E491)</f>
        <v/>
      </c>
      <c r="L491" s="8">
        <f>IF(F491&lt;&gt;"","Sold",IF(E491&lt;&gt;"","Online",IF(A491&lt;&gt;"","In stock","")))</f>
        <v/>
      </c>
    </row>
    <row r="492">
      <c r="A492" s="3" t="n"/>
      <c r="B492" s="4" t="n"/>
      <c r="C492" s="5" t="n"/>
      <c r="D492" s="3" t="n"/>
      <c r="E492" s="4" t="n"/>
      <c r="F492" s="4" t="n"/>
      <c r="G492" s="5" t="n"/>
      <c r="H492" s="5" t="n"/>
      <c r="I492" s="5" t="n"/>
      <c r="J492" s="6">
        <f>IF(G492="","",G492-C492-H492-I492)</f>
        <v/>
      </c>
      <c r="K492" s="7">
        <f>IF(E492="","",IF(F492="",TODAY(),F492)-E492)</f>
        <v/>
      </c>
      <c r="L492" s="8">
        <f>IF(F492&lt;&gt;"","Sold",IF(E492&lt;&gt;"","Online",IF(A492&lt;&gt;"","In stock","")))</f>
        <v/>
      </c>
    </row>
    <row r="493">
      <c r="A493" s="3" t="n"/>
      <c r="B493" s="4" t="n"/>
      <c r="C493" s="5" t="n"/>
      <c r="D493" s="3" t="n"/>
      <c r="E493" s="4" t="n"/>
      <c r="F493" s="4" t="n"/>
      <c r="G493" s="5" t="n"/>
      <c r="H493" s="5" t="n"/>
      <c r="I493" s="5" t="n"/>
      <c r="J493" s="6">
        <f>IF(G493="","",G493-C493-H493-I493)</f>
        <v/>
      </c>
      <c r="K493" s="7">
        <f>IF(E493="","",IF(F493="",TODAY(),F493)-E493)</f>
        <v/>
      </c>
      <c r="L493" s="8">
        <f>IF(F493&lt;&gt;"","Sold",IF(E493&lt;&gt;"","Online",IF(A493&lt;&gt;"","In stock","")))</f>
        <v/>
      </c>
    </row>
    <row r="494">
      <c r="A494" s="3" t="n"/>
      <c r="B494" s="4" t="n"/>
      <c r="C494" s="5" t="n"/>
      <c r="D494" s="3" t="n"/>
      <c r="E494" s="4" t="n"/>
      <c r="F494" s="4" t="n"/>
      <c r="G494" s="5" t="n"/>
      <c r="H494" s="5" t="n"/>
      <c r="I494" s="5" t="n"/>
      <c r="J494" s="6">
        <f>IF(G494="","",G494-C494-H494-I494)</f>
        <v/>
      </c>
      <c r="K494" s="7">
        <f>IF(E494="","",IF(F494="",TODAY(),F494)-E494)</f>
        <v/>
      </c>
      <c r="L494" s="8">
        <f>IF(F494&lt;&gt;"","Sold",IF(E494&lt;&gt;"","Online",IF(A494&lt;&gt;"","In stock","")))</f>
        <v/>
      </c>
    </row>
    <row r="495">
      <c r="A495" s="3" t="n"/>
      <c r="B495" s="4" t="n"/>
      <c r="C495" s="5" t="n"/>
      <c r="D495" s="3" t="n"/>
      <c r="E495" s="4" t="n"/>
      <c r="F495" s="4" t="n"/>
      <c r="G495" s="5" t="n"/>
      <c r="H495" s="5" t="n"/>
      <c r="I495" s="5" t="n"/>
      <c r="J495" s="6">
        <f>IF(G495="","",G495-C495-H495-I495)</f>
        <v/>
      </c>
      <c r="K495" s="7">
        <f>IF(E495="","",IF(F495="",TODAY(),F495)-E495)</f>
        <v/>
      </c>
      <c r="L495" s="8">
        <f>IF(F495&lt;&gt;"","Sold",IF(E495&lt;&gt;"","Online",IF(A495&lt;&gt;"","In stock","")))</f>
        <v/>
      </c>
    </row>
    <row r="496">
      <c r="A496" s="3" t="n"/>
      <c r="B496" s="4" t="n"/>
      <c r="C496" s="5" t="n"/>
      <c r="D496" s="3" t="n"/>
      <c r="E496" s="4" t="n"/>
      <c r="F496" s="4" t="n"/>
      <c r="G496" s="5" t="n"/>
      <c r="H496" s="5" t="n"/>
      <c r="I496" s="5" t="n"/>
      <c r="J496" s="6">
        <f>IF(G496="","",G496-C496-H496-I496)</f>
        <v/>
      </c>
      <c r="K496" s="7">
        <f>IF(E496="","",IF(F496="",TODAY(),F496)-E496)</f>
        <v/>
      </c>
      <c r="L496" s="8">
        <f>IF(F496&lt;&gt;"","Sold",IF(E496&lt;&gt;"","Online",IF(A496&lt;&gt;"","In stock","")))</f>
        <v/>
      </c>
    </row>
    <row r="497">
      <c r="A497" s="3" t="n"/>
      <c r="B497" s="4" t="n"/>
      <c r="C497" s="5" t="n"/>
      <c r="D497" s="3" t="n"/>
      <c r="E497" s="4" t="n"/>
      <c r="F497" s="4" t="n"/>
      <c r="G497" s="5" t="n"/>
      <c r="H497" s="5" t="n"/>
      <c r="I497" s="5" t="n"/>
      <c r="J497" s="6">
        <f>IF(G497="","",G497-C497-H497-I497)</f>
        <v/>
      </c>
      <c r="K497" s="7">
        <f>IF(E497="","",IF(F497="",TODAY(),F497)-E497)</f>
        <v/>
      </c>
      <c r="L497" s="8">
        <f>IF(F497&lt;&gt;"","Sold",IF(E497&lt;&gt;"","Online",IF(A497&lt;&gt;"","In stock","")))</f>
        <v/>
      </c>
    </row>
    <row r="498">
      <c r="A498" s="3" t="n"/>
      <c r="B498" s="4" t="n"/>
      <c r="C498" s="5" t="n"/>
      <c r="D498" s="3" t="n"/>
      <c r="E498" s="4" t="n"/>
      <c r="F498" s="4" t="n"/>
      <c r="G498" s="5" t="n"/>
      <c r="H498" s="5" t="n"/>
      <c r="I498" s="5" t="n"/>
      <c r="J498" s="6">
        <f>IF(G498="","",G498-C498-H498-I498)</f>
        <v/>
      </c>
      <c r="K498" s="7">
        <f>IF(E498="","",IF(F498="",TODAY(),F498)-E498)</f>
        <v/>
      </c>
      <c r="L498" s="8">
        <f>IF(F498&lt;&gt;"","Sold",IF(E498&lt;&gt;"","Online",IF(A498&lt;&gt;"","In stock","")))</f>
        <v/>
      </c>
    </row>
    <row r="499">
      <c r="A499" s="3" t="n"/>
      <c r="B499" s="4" t="n"/>
      <c r="C499" s="5" t="n"/>
      <c r="D499" s="3" t="n"/>
      <c r="E499" s="4" t="n"/>
      <c r="F499" s="4" t="n"/>
      <c r="G499" s="5" t="n"/>
      <c r="H499" s="5" t="n"/>
      <c r="I499" s="5" t="n"/>
      <c r="J499" s="6">
        <f>IF(G499="","",G499-C499-H499-I499)</f>
        <v/>
      </c>
      <c r="K499" s="7">
        <f>IF(E499="","",IF(F499="",TODAY(),F499)-E499)</f>
        <v/>
      </c>
      <c r="L499" s="8">
        <f>IF(F499&lt;&gt;"","Sold",IF(E499&lt;&gt;"","Online",IF(A499&lt;&gt;"","In stock","")))</f>
        <v/>
      </c>
    </row>
    <row r="500">
      <c r="A500" s="3" t="n"/>
      <c r="B500" s="4" t="n"/>
      <c r="C500" s="5" t="n"/>
      <c r="D500" s="3" t="n"/>
      <c r="E500" s="4" t="n"/>
      <c r="F500" s="4" t="n"/>
      <c r="G500" s="5" t="n"/>
      <c r="H500" s="5" t="n"/>
      <c r="I500" s="5" t="n"/>
      <c r="J500" s="6">
        <f>IF(G500="","",G500-C500-H500-I500)</f>
        <v/>
      </c>
      <c r="K500" s="7">
        <f>IF(E500="","",IF(F500="",TODAY(),F500)-E500)</f>
        <v/>
      </c>
      <c r="L500" s="8">
        <f>IF(F500&lt;&gt;"","Sold",IF(E500&lt;&gt;"","Online",IF(A500&lt;&gt;"","In stock","")))</f>
        <v/>
      </c>
    </row>
    <row r="501">
      <c r="A501" s="3" t="n"/>
      <c r="B501" s="4" t="n"/>
      <c r="C501" s="5" t="n"/>
      <c r="D501" s="3" t="n"/>
      <c r="E501" s="4" t="n"/>
      <c r="F501" s="4" t="n"/>
      <c r="G501" s="5" t="n"/>
      <c r="H501" s="5" t="n"/>
      <c r="I501" s="5" t="n"/>
      <c r="J501" s="6">
        <f>IF(G501="","",G501-C501-H501-I501)</f>
        <v/>
      </c>
      <c r="K501" s="7">
        <f>IF(E501="","",IF(F501="",TODAY(),F501)-E501)</f>
        <v/>
      </c>
      <c r="L501" s="8">
        <f>IF(F501&lt;&gt;"","Sold",IF(E501&lt;&gt;"","Online",IF(A501&lt;&gt;"","In stock","")))</f>
        <v/>
      </c>
    </row>
    <row r="502">
      <c r="A502" s="3" t="n"/>
      <c r="B502" s="4" t="n"/>
      <c r="C502" s="5" t="n"/>
      <c r="D502" s="3" t="n"/>
      <c r="E502" s="4" t="n"/>
      <c r="F502" s="4" t="n"/>
      <c r="G502" s="5" t="n"/>
      <c r="H502" s="5" t="n"/>
      <c r="I502" s="5" t="n"/>
      <c r="J502" s="6">
        <f>IF(G502="","",G502-C502-H502-I502)</f>
        <v/>
      </c>
      <c r="K502" s="7">
        <f>IF(E502="","",IF(F502="",TODAY(),F502)-E502)</f>
        <v/>
      </c>
      <c r="L502" s="8">
        <f>IF(F502&lt;&gt;"","Sold",IF(E502&lt;&gt;"","Online",IF(A502&lt;&gt;"","In stock","")))</f>
        <v/>
      </c>
    </row>
    <row r="503">
      <c r="A503" s="3" t="n"/>
      <c r="B503" s="4" t="n"/>
      <c r="C503" s="5" t="n"/>
      <c r="D503" s="3" t="n"/>
      <c r="E503" s="4" t="n"/>
      <c r="F503" s="4" t="n"/>
      <c r="G503" s="5" t="n"/>
      <c r="H503" s="5" t="n"/>
      <c r="I503" s="5" t="n"/>
      <c r="J503" s="6">
        <f>IF(G503="","",G503-C503-H503-I503)</f>
        <v/>
      </c>
      <c r="K503" s="7">
        <f>IF(E503="","",IF(F503="",TODAY(),F503)-E503)</f>
        <v/>
      </c>
      <c r="L503" s="8">
        <f>IF(F503&lt;&gt;"","Sold",IF(E503&lt;&gt;"","Online",IF(A503&lt;&gt;"","In stock","")))</f>
        <v/>
      </c>
    </row>
  </sheetData>
  <dataValidations count="1">
    <dataValidation sqref="D4:D503" showDropDown="0" showInputMessage="0" showErrorMessage="0" allowBlank="1" type="list">
      <formula1>"Marktplaats,2dehands,Vinted,eBay,Shopify,Other"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4" customWidth="1" min="4" max="4"/>
    <col width="60" customWidth="1" min="5" max="5"/>
  </cols>
  <sheetData>
    <row r="1">
      <c r="A1" s="9" t="inlineStr">
        <is>
          <t>Year</t>
        </is>
      </c>
      <c r="B1" s="3" t="n">
        <v>2026</v>
      </c>
    </row>
    <row r="3">
      <c r="A3" s="10" t="inlineStr">
        <is>
          <t>Platform</t>
        </is>
      </c>
      <c r="B3" s="10" t="inlineStr">
        <is>
          <t>Sales</t>
        </is>
      </c>
      <c r="C3" s="10" t="inlineStr">
        <is>
          <t>Revenue</t>
        </is>
      </c>
      <c r="D3" s="10" t="inlineStr">
        <is>
          <t>Profit</t>
        </is>
      </c>
      <c r="E3" s="10" t="inlineStr">
        <is>
          <t>DAC7: gets reported?</t>
        </is>
      </c>
    </row>
    <row r="4">
      <c r="A4" t="inlineStr">
        <is>
          <t>Marktplaats</t>
        </is>
      </c>
      <c r="B4">
        <f>COUNTIFS('Inventory'!$D$4:$D$503,A4,'Inventory'!$F$4:$F$503,"&gt;="&amp;DATE($B$1,1,1),'Inventory'!$F$4:$F$503,"&lt;="&amp;DATE($B$1,12,31))</f>
        <v/>
      </c>
      <c r="C4" s="11">
        <f>SUMIFS('Inventory'!$G$4:$G$503,'Inventory'!$D$4:$D$503,A4,'Inventory'!$F$4:$F$503,"&gt;="&amp;DATE($B$1,1,1),'Inventory'!$F$4:$F$503,"&lt;="&amp;DATE($B$1,12,31))</f>
        <v/>
      </c>
      <c r="D4" s="11">
        <f>SUMIFS('Inventory'!$J$4:$J$503,'Inventory'!$D$4:$D$503,A4,'Inventory'!$F$4:$F$503,"&gt;="&amp;DATE($B$1,1,1),'Inventory'!$F$4:$F$503,"&lt;="&amp;DATE($B$1,12,31))</f>
        <v/>
      </c>
      <c r="E4">
        <f>IF(OR(B4&gt;=30,C4&gt;2000),"Yes: the platform reports your details to the tax authority","No")</f>
        <v/>
      </c>
    </row>
    <row r="5">
      <c r="A5" t="inlineStr">
        <is>
          <t>2dehands</t>
        </is>
      </c>
      <c r="B5">
        <f>COUNTIFS('Inventory'!$D$4:$D$503,A5,'Inventory'!$F$4:$F$503,"&gt;="&amp;DATE($B$1,1,1),'Inventory'!$F$4:$F$503,"&lt;="&amp;DATE($B$1,12,31))</f>
        <v/>
      </c>
      <c r="C5" s="11">
        <f>SUMIFS('Inventory'!$G$4:$G$503,'Inventory'!$D$4:$D$503,A5,'Inventory'!$F$4:$F$503,"&gt;="&amp;DATE($B$1,1,1),'Inventory'!$F$4:$F$503,"&lt;="&amp;DATE($B$1,12,31))</f>
        <v/>
      </c>
      <c r="D5" s="11">
        <f>SUMIFS('Inventory'!$J$4:$J$503,'Inventory'!$D$4:$D$503,A5,'Inventory'!$F$4:$F$503,"&gt;="&amp;DATE($B$1,1,1),'Inventory'!$F$4:$F$503,"&lt;="&amp;DATE($B$1,12,31))</f>
        <v/>
      </c>
      <c r="E5">
        <f>IF(OR(B5&gt;=30,C5&gt;2000),"Yes: the platform reports your details to the tax authority","No")</f>
        <v/>
      </c>
    </row>
    <row r="6">
      <c r="A6" t="inlineStr">
        <is>
          <t>Vinted</t>
        </is>
      </c>
      <c r="B6">
        <f>COUNTIFS('Inventory'!$D$4:$D$503,A6,'Inventory'!$F$4:$F$503,"&gt;="&amp;DATE($B$1,1,1),'Inventory'!$F$4:$F$503,"&lt;="&amp;DATE($B$1,12,31))</f>
        <v/>
      </c>
      <c r="C6" s="11">
        <f>SUMIFS('Inventory'!$G$4:$G$503,'Inventory'!$D$4:$D$503,A6,'Inventory'!$F$4:$F$503,"&gt;="&amp;DATE($B$1,1,1),'Inventory'!$F$4:$F$503,"&lt;="&amp;DATE($B$1,12,31))</f>
        <v/>
      </c>
      <c r="D6" s="11">
        <f>SUMIFS('Inventory'!$J$4:$J$503,'Inventory'!$D$4:$D$503,A6,'Inventory'!$F$4:$F$503,"&gt;="&amp;DATE($B$1,1,1),'Inventory'!$F$4:$F$503,"&lt;="&amp;DATE($B$1,12,31))</f>
        <v/>
      </c>
      <c r="E6">
        <f>IF(OR(B6&gt;=30,C6&gt;2000),"Yes: the platform reports your details to the tax authority","No")</f>
        <v/>
      </c>
    </row>
    <row r="7">
      <c r="A7" t="inlineStr">
        <is>
          <t>eBay</t>
        </is>
      </c>
      <c r="B7">
        <f>COUNTIFS('Inventory'!$D$4:$D$503,A7,'Inventory'!$F$4:$F$503,"&gt;="&amp;DATE($B$1,1,1),'Inventory'!$F$4:$F$503,"&lt;="&amp;DATE($B$1,12,31))</f>
        <v/>
      </c>
      <c r="C7" s="11">
        <f>SUMIFS('Inventory'!$G$4:$G$503,'Inventory'!$D$4:$D$503,A7,'Inventory'!$F$4:$F$503,"&gt;="&amp;DATE($B$1,1,1),'Inventory'!$F$4:$F$503,"&lt;="&amp;DATE($B$1,12,31))</f>
        <v/>
      </c>
      <c r="D7" s="11">
        <f>SUMIFS('Inventory'!$J$4:$J$503,'Inventory'!$D$4:$D$503,A7,'Inventory'!$F$4:$F$503,"&gt;="&amp;DATE($B$1,1,1),'Inventory'!$F$4:$F$503,"&lt;="&amp;DATE($B$1,12,31))</f>
        <v/>
      </c>
      <c r="E7">
        <f>IF(OR(B7&gt;=30,C7&gt;2000),"Yes: the platform reports your details to the tax authority","No")</f>
        <v/>
      </c>
    </row>
    <row r="8">
      <c r="A8" t="inlineStr">
        <is>
          <t>Shopify</t>
        </is>
      </c>
      <c r="B8">
        <f>COUNTIFS('Inventory'!$D$4:$D$503,A8,'Inventory'!$F$4:$F$503,"&gt;="&amp;DATE($B$1,1,1),'Inventory'!$F$4:$F$503,"&lt;="&amp;DATE($B$1,12,31))</f>
        <v/>
      </c>
      <c r="C8" s="11">
        <f>SUMIFS('Inventory'!$G$4:$G$503,'Inventory'!$D$4:$D$503,A8,'Inventory'!$F$4:$F$503,"&gt;="&amp;DATE($B$1,1,1),'Inventory'!$F$4:$F$503,"&lt;="&amp;DATE($B$1,12,31))</f>
        <v/>
      </c>
      <c r="D8" s="11">
        <f>SUMIFS('Inventory'!$J$4:$J$503,'Inventory'!$D$4:$D$503,A8,'Inventory'!$F$4:$F$503,"&gt;="&amp;DATE($B$1,1,1),'Inventory'!$F$4:$F$503,"&lt;="&amp;DATE($B$1,12,31))</f>
        <v/>
      </c>
      <c r="E8">
        <f>IF(OR(B8&gt;=30,C8&gt;2000),"Yes: the platform reports your details to the tax authority","No")</f>
        <v/>
      </c>
    </row>
    <row r="9">
      <c r="A9" t="inlineStr">
        <is>
          <t>Other</t>
        </is>
      </c>
      <c r="B9">
        <f>COUNTIFS('Inventory'!$D$4:$D$503,A9,'Inventory'!$F$4:$F$503,"&gt;="&amp;DATE($B$1,1,1),'Inventory'!$F$4:$F$503,"&lt;="&amp;DATE($B$1,12,31))</f>
        <v/>
      </c>
      <c r="C9" s="11">
        <f>SUMIFS('Inventory'!$G$4:$G$503,'Inventory'!$D$4:$D$503,A9,'Inventory'!$F$4:$F$503,"&gt;="&amp;DATE($B$1,1,1),'Inventory'!$F$4:$F$503,"&lt;="&amp;DATE($B$1,12,31))</f>
        <v/>
      </c>
      <c r="D9" s="11">
        <f>SUMIFS('Inventory'!$J$4:$J$503,'Inventory'!$D$4:$D$503,A9,'Inventory'!$F$4:$F$503,"&gt;="&amp;DATE($B$1,1,1),'Inventory'!$F$4:$F$503,"&lt;="&amp;DATE($B$1,12,31))</f>
        <v/>
      </c>
      <c r="E9">
        <f>IF(OR(B9&gt;=30,C9&gt;2000),"Yes: the platform reports your details to the tax authority","No")</f>
        <v/>
      </c>
    </row>
    <row r="10">
      <c r="A10" s="9" t="inlineStr">
        <is>
          <t>Total</t>
        </is>
      </c>
      <c r="B10" s="9">
        <f>SUM(B4:B9)</f>
        <v/>
      </c>
      <c r="C10" s="12">
        <f>SUM(C4:C9)</f>
        <v/>
      </c>
      <c r="D10" s="12">
        <f>SUM(D4:D9)</f>
        <v/>
      </c>
    </row>
    <row r="12">
      <c r="A12" s="1" t="inlineStr">
        <is>
          <t>DAC7 limit (Dutch Belastingdienst, per platform and calendar year): 30 sales or more, or revenue above 2,000 euro. Being reported is not the same as paying tax. This is not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2026-10-28T17:32:43Z</dcterms:created>
  <dcterms:modified xmlns:dcterms="http://purl.org/dc/terms/" xmlns:xsi="http://www.w3.org/2001/XMLSchema-instance" xsi:type="dcterms:W3CDTF">2026-10-28T17:32:43Z</dcterms:modified>
</cp:coreProperties>
</file>